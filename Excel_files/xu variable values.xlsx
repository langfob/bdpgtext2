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0" yWindow="0" windowWidth="28080" windowHeight="175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H31" i="1" l="1"/>
  <c r="AH30" i="1"/>
  <c r="AG25" i="1"/>
  <c r="AH25" i="1"/>
  <c r="AG24" i="1"/>
  <c r="AH24" i="1"/>
  <c r="AG23" i="1"/>
  <c r="AH23" i="1"/>
  <c r="AH16" i="1"/>
  <c r="AH14" i="1"/>
  <c r="AH13" i="1"/>
  <c r="AH12" i="1"/>
  <c r="AH8" i="1"/>
  <c r="AH7" i="1"/>
  <c r="AH6" i="1"/>
  <c r="AH5" i="1"/>
  <c r="AH2" i="1"/>
  <c r="AH3" i="1"/>
  <c r="AJ31" i="1"/>
  <c r="AJ30" i="1"/>
  <c r="AI25" i="1"/>
  <c r="AJ25" i="1"/>
  <c r="AI24" i="1"/>
  <c r="AJ24" i="1"/>
  <c r="AI23" i="1"/>
  <c r="AJ23" i="1"/>
  <c r="AJ20" i="1"/>
  <c r="AJ19" i="1"/>
  <c r="AJ17" i="1"/>
  <c r="AJ16" i="1"/>
  <c r="AJ14" i="1"/>
  <c r="AJ13" i="1"/>
  <c r="AJ12" i="1"/>
  <c r="AJ8" i="1"/>
  <c r="AJ7" i="1"/>
  <c r="AJ6" i="1"/>
  <c r="AJ5" i="1"/>
  <c r="AJ3" i="1"/>
  <c r="AJ2" i="1"/>
  <c r="AQ31" i="1"/>
  <c r="AQ30" i="1"/>
  <c r="AO25" i="1"/>
  <c r="AQ25" i="1"/>
  <c r="AO24" i="1"/>
  <c r="AQ24" i="1"/>
  <c r="AO23" i="1"/>
  <c r="AQ23" i="1"/>
  <c r="AQ16" i="1"/>
  <c r="AQ14" i="1"/>
  <c r="AQ13" i="1"/>
  <c r="AQ12" i="1"/>
  <c r="AQ8" i="1"/>
  <c r="AQ7" i="1"/>
  <c r="AQ6" i="1"/>
  <c r="AQ5" i="1"/>
  <c r="AQ3" i="1"/>
  <c r="AQ2" i="1"/>
  <c r="T3" i="1"/>
  <c r="AP3" i="1"/>
  <c r="T5" i="1"/>
  <c r="AP5" i="1"/>
  <c r="T6" i="1"/>
  <c r="AP6" i="1"/>
  <c r="T7" i="1"/>
  <c r="AP7" i="1"/>
  <c r="T8" i="1"/>
  <c r="AP8" i="1"/>
  <c r="T12" i="1"/>
  <c r="AP12" i="1"/>
  <c r="T13" i="1"/>
  <c r="AP13" i="1"/>
  <c r="T14" i="1"/>
  <c r="AP14" i="1"/>
  <c r="T16" i="1"/>
  <c r="AP16" i="1"/>
  <c r="T17" i="1"/>
  <c r="AP17" i="1"/>
  <c r="T19" i="1"/>
  <c r="AP19" i="1"/>
  <c r="T20" i="1"/>
  <c r="AP20" i="1"/>
  <c r="T23" i="1"/>
  <c r="AP23" i="1"/>
  <c r="T24" i="1"/>
  <c r="AP24" i="1"/>
  <c r="T25" i="1"/>
  <c r="AP25" i="1"/>
  <c r="D30" i="1"/>
  <c r="T30" i="1"/>
  <c r="AP30" i="1"/>
  <c r="D31" i="1"/>
  <c r="T31" i="1"/>
  <c r="AP31" i="1"/>
  <c r="T2" i="1"/>
  <c r="AP2" i="1"/>
  <c r="AG31" i="1"/>
  <c r="AG30" i="1"/>
  <c r="F25" i="1"/>
  <c r="F24" i="1"/>
  <c r="F23" i="1"/>
  <c r="F16" i="1"/>
  <c r="AG16" i="1"/>
  <c r="F14" i="1"/>
  <c r="AG14" i="1"/>
  <c r="F13" i="1"/>
  <c r="AG13" i="1"/>
  <c r="F12" i="1"/>
  <c r="AG12" i="1"/>
  <c r="F8" i="1"/>
  <c r="AG8" i="1"/>
  <c r="F7" i="1"/>
  <c r="AG7" i="1"/>
  <c r="F6" i="1"/>
  <c r="AG6" i="1"/>
  <c r="F5" i="1"/>
  <c r="AG5" i="1"/>
  <c r="F3" i="1"/>
  <c r="AG3" i="1"/>
  <c r="F2" i="1"/>
  <c r="AG2" i="1"/>
  <c r="W31" i="1"/>
  <c r="AO31" i="1"/>
  <c r="AN31" i="1"/>
  <c r="AM31" i="1"/>
  <c r="AI31" i="1"/>
  <c r="AK31" i="1"/>
  <c r="AB31" i="1"/>
  <c r="AA31" i="1"/>
  <c r="Z31" i="1"/>
  <c r="W30" i="1"/>
  <c r="AO30" i="1"/>
  <c r="AN30" i="1"/>
  <c r="AM30" i="1"/>
  <c r="AI30" i="1"/>
  <c r="AK30" i="1"/>
  <c r="AB30" i="1"/>
  <c r="AA30" i="1"/>
  <c r="Z30" i="1"/>
  <c r="AN25" i="1"/>
  <c r="AM25" i="1"/>
  <c r="AE25" i="1"/>
  <c r="Y25" i="1"/>
  <c r="AK25" i="1"/>
  <c r="AB25" i="1"/>
  <c r="AA25" i="1"/>
  <c r="Z25" i="1"/>
  <c r="AN24" i="1"/>
  <c r="AM24" i="1"/>
  <c r="AE24" i="1"/>
  <c r="Y24" i="1"/>
  <c r="AK24" i="1"/>
  <c r="AB24" i="1"/>
  <c r="AA24" i="1"/>
  <c r="Z24" i="1"/>
  <c r="AN23" i="1"/>
  <c r="AM23" i="1"/>
  <c r="AE23" i="1"/>
  <c r="Y23" i="1"/>
  <c r="AK23" i="1"/>
  <c r="AB23" i="1"/>
  <c r="AA23" i="1"/>
  <c r="Z23" i="1"/>
  <c r="AO20" i="1"/>
  <c r="AN20" i="1"/>
  <c r="AM20" i="1"/>
  <c r="AE20" i="1"/>
  <c r="Y20" i="1"/>
  <c r="AI20" i="1"/>
  <c r="AK20" i="1"/>
  <c r="AB20" i="1"/>
  <c r="AA20" i="1"/>
  <c r="Z20" i="1"/>
  <c r="AO19" i="1"/>
  <c r="AN19" i="1"/>
  <c r="AM19" i="1"/>
  <c r="AE19" i="1"/>
  <c r="Y19" i="1"/>
  <c r="AI19" i="1"/>
  <c r="AK19" i="1"/>
  <c r="AB19" i="1"/>
  <c r="AA19" i="1"/>
  <c r="Z19" i="1"/>
  <c r="AO17" i="1"/>
  <c r="AN17" i="1"/>
  <c r="AM17" i="1"/>
  <c r="AE17" i="1"/>
  <c r="Y17" i="1"/>
  <c r="AI17" i="1"/>
  <c r="AK17" i="1"/>
  <c r="AB17" i="1"/>
  <c r="AA17" i="1"/>
  <c r="Z17" i="1"/>
  <c r="AO16" i="1"/>
  <c r="AN16" i="1"/>
  <c r="AM16" i="1"/>
  <c r="AE16" i="1"/>
  <c r="Y16" i="1"/>
  <c r="AI16" i="1"/>
  <c r="AK16" i="1"/>
  <c r="AB16" i="1"/>
  <c r="AA16" i="1"/>
  <c r="Z16" i="1"/>
  <c r="AO14" i="1"/>
  <c r="AN14" i="1"/>
  <c r="AM14" i="1"/>
  <c r="AE14" i="1"/>
  <c r="Y14" i="1"/>
  <c r="AI14" i="1"/>
  <c r="AK14" i="1"/>
  <c r="AB14" i="1"/>
  <c r="AA14" i="1"/>
  <c r="Z14" i="1"/>
  <c r="AO13" i="1"/>
  <c r="AN13" i="1"/>
  <c r="AM13" i="1"/>
  <c r="AE13" i="1"/>
  <c r="Y13" i="1"/>
  <c r="AI13" i="1"/>
  <c r="AK13" i="1"/>
  <c r="AB13" i="1"/>
  <c r="AA13" i="1"/>
  <c r="Z13" i="1"/>
  <c r="AO12" i="1"/>
  <c r="AN12" i="1"/>
  <c r="AM12" i="1"/>
  <c r="AE12" i="1"/>
  <c r="Y12" i="1"/>
  <c r="AI12" i="1"/>
  <c r="AK12" i="1"/>
  <c r="AB12" i="1"/>
  <c r="AA12" i="1"/>
  <c r="Z12" i="1"/>
  <c r="AO8" i="1"/>
  <c r="AN8" i="1"/>
  <c r="AM8" i="1"/>
  <c r="AE8" i="1"/>
  <c r="Y8" i="1"/>
  <c r="AI8" i="1"/>
  <c r="AK8" i="1"/>
  <c r="AB8" i="1"/>
  <c r="AA8" i="1"/>
  <c r="Z8" i="1"/>
  <c r="AO7" i="1"/>
  <c r="AN7" i="1"/>
  <c r="AM7" i="1"/>
  <c r="AE7" i="1"/>
  <c r="Y7" i="1"/>
  <c r="AI7" i="1"/>
  <c r="AK7" i="1"/>
  <c r="AB7" i="1"/>
  <c r="AA7" i="1"/>
  <c r="Z7" i="1"/>
  <c r="AO6" i="1"/>
  <c r="AN6" i="1"/>
  <c r="AM6" i="1"/>
  <c r="AE6" i="1"/>
  <c r="Y6" i="1"/>
  <c r="AI6" i="1"/>
  <c r="AK6" i="1"/>
  <c r="AB6" i="1"/>
  <c r="AA6" i="1"/>
  <c r="Z6" i="1"/>
  <c r="AO5" i="1"/>
  <c r="AN5" i="1"/>
  <c r="AM5" i="1"/>
  <c r="AE5" i="1"/>
  <c r="Y5" i="1"/>
  <c r="AI5" i="1"/>
  <c r="AK5" i="1"/>
  <c r="AB5" i="1"/>
  <c r="AA5" i="1"/>
  <c r="Z5" i="1"/>
  <c r="AO3" i="1"/>
  <c r="AN3" i="1"/>
  <c r="AM3" i="1"/>
  <c r="AE3" i="1"/>
  <c r="Y3" i="1"/>
  <c r="AI3" i="1"/>
  <c r="AK3" i="1"/>
  <c r="AB3" i="1"/>
  <c r="AA3" i="1"/>
  <c r="Z3" i="1"/>
  <c r="AO2" i="1"/>
  <c r="AN2" i="1"/>
  <c r="AM2" i="1"/>
  <c r="AE2" i="1"/>
  <c r="Y2" i="1"/>
  <c r="AI2" i="1"/>
  <c r="AK2" i="1"/>
  <c r="AB2" i="1"/>
  <c r="AA2" i="1"/>
  <c r="Z2" i="1"/>
  <c r="S13" i="1"/>
  <c r="R13" i="1"/>
  <c r="L13" i="1"/>
  <c r="O13" i="1"/>
  <c r="P13" i="1"/>
  <c r="I13" i="1"/>
  <c r="H13" i="1"/>
  <c r="G13" i="1"/>
  <c r="S31" i="1"/>
  <c r="R31" i="1"/>
  <c r="O31" i="1"/>
  <c r="P31" i="1"/>
  <c r="S30" i="1"/>
  <c r="R30" i="1"/>
  <c r="O30" i="1"/>
  <c r="P30" i="1"/>
  <c r="I31" i="1"/>
  <c r="H31" i="1"/>
  <c r="G31" i="1"/>
  <c r="I30" i="1"/>
  <c r="H30" i="1"/>
  <c r="G30" i="1"/>
  <c r="S25" i="1"/>
  <c r="R25" i="1"/>
  <c r="O25" i="1"/>
  <c r="L25" i="1"/>
  <c r="P25" i="1"/>
  <c r="S24" i="1"/>
  <c r="R24" i="1"/>
  <c r="O24" i="1"/>
  <c r="L24" i="1"/>
  <c r="P24" i="1"/>
  <c r="S23" i="1"/>
  <c r="R23" i="1"/>
  <c r="O23" i="1"/>
  <c r="L23" i="1"/>
  <c r="P23" i="1"/>
  <c r="I25" i="1"/>
  <c r="H25" i="1"/>
  <c r="G25" i="1"/>
  <c r="I24" i="1"/>
  <c r="H24" i="1"/>
  <c r="G24" i="1"/>
  <c r="I23" i="1"/>
  <c r="H23" i="1"/>
  <c r="G23" i="1"/>
  <c r="S20" i="1"/>
  <c r="R20" i="1"/>
  <c r="F20" i="1"/>
  <c r="O20" i="1"/>
  <c r="L20" i="1"/>
  <c r="P20" i="1"/>
  <c r="S19" i="1"/>
  <c r="R19" i="1"/>
  <c r="F19" i="1"/>
  <c r="O19" i="1"/>
  <c r="L19" i="1"/>
  <c r="P19" i="1"/>
  <c r="S17" i="1"/>
  <c r="R17" i="1"/>
  <c r="F17" i="1"/>
  <c r="O17" i="1"/>
  <c r="L17" i="1"/>
  <c r="P17" i="1"/>
  <c r="S16" i="1"/>
  <c r="R16" i="1"/>
  <c r="O16" i="1"/>
  <c r="L16" i="1"/>
  <c r="P16" i="1"/>
  <c r="S14" i="1"/>
  <c r="R14" i="1"/>
  <c r="O14" i="1"/>
  <c r="L14" i="1"/>
  <c r="P14" i="1"/>
  <c r="S12" i="1"/>
  <c r="R12" i="1"/>
  <c r="O12" i="1"/>
  <c r="L12" i="1"/>
  <c r="P12" i="1"/>
  <c r="I20" i="1"/>
  <c r="H20" i="1"/>
  <c r="G20" i="1"/>
  <c r="I19" i="1"/>
  <c r="H19" i="1"/>
  <c r="G19" i="1"/>
  <c r="I17" i="1"/>
  <c r="H17" i="1"/>
  <c r="G17" i="1"/>
  <c r="I16" i="1"/>
  <c r="H16" i="1"/>
  <c r="G16" i="1"/>
  <c r="I14" i="1"/>
  <c r="H14" i="1"/>
  <c r="G14" i="1"/>
  <c r="I12" i="1"/>
  <c r="H12" i="1"/>
  <c r="G12" i="1"/>
  <c r="S3" i="1"/>
  <c r="R3" i="1"/>
  <c r="L3" i="1"/>
  <c r="O3" i="1"/>
  <c r="P3" i="1"/>
  <c r="I3" i="1"/>
  <c r="H3" i="1"/>
  <c r="G3" i="1"/>
  <c r="R5" i="1"/>
  <c r="R6" i="1"/>
  <c r="R7" i="1"/>
  <c r="R8" i="1"/>
  <c r="R2" i="1"/>
  <c r="S5" i="1"/>
  <c r="S6" i="1"/>
  <c r="S7" i="1"/>
  <c r="S8" i="1"/>
  <c r="S2" i="1"/>
  <c r="L5" i="1"/>
  <c r="O5" i="1"/>
  <c r="P5" i="1"/>
  <c r="L6" i="1"/>
  <c r="O6" i="1"/>
  <c r="P6" i="1"/>
  <c r="L7" i="1"/>
  <c r="O7" i="1"/>
  <c r="P7" i="1"/>
  <c r="L8" i="1"/>
  <c r="O8" i="1"/>
  <c r="P8" i="1"/>
  <c r="I5" i="1"/>
  <c r="I6" i="1"/>
  <c r="I7" i="1"/>
  <c r="I8" i="1"/>
  <c r="H5" i="1"/>
  <c r="H6" i="1"/>
  <c r="H7" i="1"/>
  <c r="H8" i="1"/>
  <c r="G5" i="1"/>
  <c r="G6" i="1"/>
  <c r="G7" i="1"/>
  <c r="G8" i="1"/>
  <c r="I2" i="1"/>
  <c r="H2" i="1"/>
  <c r="L2" i="1"/>
  <c r="O2" i="1"/>
  <c r="P2" i="1"/>
  <c r="G2" i="1"/>
</calcChain>
</file>

<file path=xl/sharedStrings.xml><?xml version="1.0" encoding="utf-8"?>
<sst xmlns="http://schemas.openxmlformats.org/spreadsheetml/2006/main" count="54" uniqueCount="32">
  <si>
    <t>d</t>
  </si>
  <si>
    <t>num_PUs</t>
  </si>
  <si>
    <t>m</t>
  </si>
  <si>
    <t>LPR</t>
  </si>
  <si>
    <t>num_spp</t>
  </si>
  <si>
    <t>sol_size</t>
  </si>
  <si>
    <t>sol_frac</t>
  </si>
  <si>
    <t>n &gt;= 2</t>
  </si>
  <si>
    <t>alpha &gt; 0</t>
  </si>
  <si>
    <t>r &gt; 0</t>
  </si>
  <si>
    <t>rcr</t>
  </si>
  <si>
    <t>if alpha&gt;1/2</t>
  </si>
  <si>
    <t>if p&lt;=1/2</t>
  </si>
  <si>
    <t xml:space="preserve">            #  Xu simple model - all 3 hard cases:</t>
  </si>
  <si>
    <t xml:space="preserve">            #    p: [0.14..0.36]    #  w/ critical value Pcr ~ 0.23</t>
  </si>
  <si>
    <t xml:space="preserve">            #    alpha:  Don't derive from n__num_groups</t>
  </si>
  <si>
    <t xml:space="preserve">        #  In "simple model ..." paper, they use:</t>
  </si>
  <si>
    <t xml:space="preserve">        #       n in [8..100] while alpha = 0.52, r = 1</t>
  </si>
  <si>
    <t xml:space="preserve">        #       r in [0.8..2.5] while n = 20, alpha = 0.77</t>
  </si>
  <si>
    <t xml:space="preserve">        #       alpha in [0.2..1] while n = 20, r = 2.5</t>
  </si>
  <si>
    <t xml:space="preserve">        #  In all 3 cases, best fit to the theory was when the parameter</t>
  </si>
  <si>
    <t xml:space="preserve">        #  was at the top of its range.  See figure 1 in the paper.</t>
  </si>
  <si>
    <t xml:space="preserve">Reasonable ranges for </t>
  </si>
  <si>
    <t>use in final experiments</t>
  </si>
  <si>
    <r>
      <rPr>
        <b/>
        <sz val="12"/>
        <color rgb="FFFF0000"/>
        <rFont val="Calibri"/>
        <scheme val="minor"/>
      </rPr>
      <t>LPR</t>
    </r>
    <r>
      <rPr>
        <sz val="12"/>
        <color theme="1"/>
        <rFont val="Calibri"/>
        <family val="2"/>
        <scheme val="minor"/>
      </rPr>
      <t>=links per round, aka rsp_target_num_links_between_2_groups_per_round</t>
    </r>
  </si>
  <si>
    <t>nominal p in (0,1)</t>
  </si>
  <si>
    <t>effective p in (0,1)</t>
  </si>
  <si>
    <t>effective rcr</t>
  </si>
  <si>
    <t>nominal rcr</t>
  </si>
  <si>
    <t>delta p</t>
  </si>
  <si>
    <t>delta LPR</t>
  </si>
  <si>
    <t>delta rcr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</si>
</sst>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FF0000"/>
      <name val="Calibri"/>
      <scheme val="minor"/>
    </font>
    <font>
      <b/>
      <sz val="12"/>
      <color rgb="FF0000FF"/>
      <name val="Calibri"/>
      <scheme val="minor"/>
    </font>
    <font>
      <sz val="12"/>
      <color rgb="FF0000FF"/>
      <name val="Calibri"/>
      <scheme val="minor"/>
    </font>
    <font>
      <b/>
      <sz val="12"/>
      <color rgb="FF008000"/>
      <name val="Calibri"/>
      <scheme val="minor"/>
    </font>
    <font>
      <sz val="12"/>
      <color rgb="FF008000"/>
      <name val="Calibri"/>
      <scheme val="minor"/>
    </font>
    <font>
      <sz val="10"/>
      <color rgb="FFFF0000"/>
      <name val="Calibri"/>
    </font>
    <font>
      <sz val="12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0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21FF06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8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0" fontId="5" fillId="0" borderId="0" xfId="0" applyFont="1"/>
    <xf numFmtId="0" fontId="2" fillId="0" borderId="0" xfId="0" applyFont="1"/>
    <xf numFmtId="0" fontId="0" fillId="2" borderId="0" xfId="0" applyFill="1"/>
    <xf numFmtId="0" fontId="6" fillId="0" borderId="0" xfId="0" applyFont="1"/>
    <xf numFmtId="0" fontId="7" fillId="0" borderId="0" xfId="0" applyFont="1"/>
    <xf numFmtId="0" fontId="9" fillId="0" borderId="0" xfId="0" applyFont="1"/>
    <xf numFmtId="0" fontId="8" fillId="0" borderId="0" xfId="0" quotePrefix="1" applyFont="1"/>
    <xf numFmtId="0" fontId="1" fillId="2" borderId="0" xfId="0" applyFont="1" applyFill="1"/>
    <xf numFmtId="0" fontId="0" fillId="3" borderId="0" xfId="0" applyFill="1"/>
    <xf numFmtId="0" fontId="10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11" fillId="4" borderId="0" xfId="0" applyFont="1" applyFill="1"/>
    <xf numFmtId="0" fontId="0" fillId="4" borderId="0" xfId="0" applyFill="1"/>
    <xf numFmtId="0" fontId="2" fillId="5" borderId="0" xfId="0" applyFont="1" applyFill="1"/>
    <xf numFmtId="0" fontId="2" fillId="6" borderId="0" xfId="0" applyFont="1" applyFill="1"/>
    <xf numFmtId="0" fontId="0" fillId="6" borderId="0" xfId="0" applyFill="1"/>
    <xf numFmtId="0" fontId="8" fillId="6" borderId="0" xfId="0" applyFont="1" applyFill="1"/>
    <xf numFmtId="164" fontId="5" fillId="0" borderId="0" xfId="0" applyNumberFormat="1" applyFont="1"/>
    <xf numFmtId="164" fontId="1" fillId="0" borderId="0" xfId="0" applyNumberFormat="1" applyFont="1"/>
    <xf numFmtId="2" fontId="8" fillId="6" borderId="0" xfId="0" applyNumberFormat="1" applyFont="1" applyFill="1"/>
    <xf numFmtId="2" fontId="9" fillId="0" borderId="0" xfId="0" applyNumberFormat="1" applyFont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2" xfId="0" applyBorder="1"/>
    <xf numFmtId="0" fontId="6" fillId="2" borderId="2" xfId="0" applyFont="1" applyFill="1" applyBorder="1"/>
    <xf numFmtId="0" fontId="7" fillId="2" borderId="2" xfId="0" applyFont="1" applyFill="1" applyBorder="1"/>
    <xf numFmtId="0" fontId="7" fillId="0" borderId="2" xfId="0" applyFont="1" applyBorder="1"/>
    <xf numFmtId="0" fontId="0" fillId="2" borderId="2" xfId="0" applyFill="1" applyBorder="1"/>
    <xf numFmtId="0" fontId="1" fillId="2" borderId="3" xfId="0" applyFont="1" applyFill="1" applyBorder="1"/>
    <xf numFmtId="0" fontId="1" fillId="2" borderId="0" xfId="0" applyFont="1" applyFill="1" applyBorder="1"/>
    <xf numFmtId="0" fontId="0" fillId="0" borderId="0" xfId="0" applyBorder="1"/>
    <xf numFmtId="0" fontId="6" fillId="2" borderId="0" xfId="0" applyFont="1" applyFill="1" applyBorder="1"/>
    <xf numFmtId="0" fontId="7" fillId="2" borderId="0" xfId="0" applyFont="1" applyFill="1" applyBorder="1"/>
    <xf numFmtId="0" fontId="7" fillId="0" borderId="0" xfId="0" applyFont="1" applyBorder="1"/>
    <xf numFmtId="0" fontId="0" fillId="2" borderId="0" xfId="0" applyFill="1" applyBorder="1"/>
    <xf numFmtId="0" fontId="1" fillId="0" borderId="3" xfId="0" applyFont="1" applyBorder="1"/>
    <xf numFmtId="0" fontId="1" fillId="0" borderId="0" xfId="0" applyFont="1" applyBorder="1"/>
    <xf numFmtId="0" fontId="6" fillId="0" borderId="0" xfId="0" applyFont="1" applyBorder="1"/>
    <xf numFmtId="0" fontId="0" fillId="3" borderId="0" xfId="0" applyFill="1" applyBorder="1"/>
    <xf numFmtId="0" fontId="5" fillId="5" borderId="3" xfId="0" quotePrefix="1" applyFont="1" applyFill="1" applyBorder="1"/>
    <xf numFmtId="0" fontId="5" fillId="5" borderId="0" xfId="0" applyFont="1" applyFill="1" applyBorder="1"/>
    <xf numFmtId="0" fontId="0" fillId="4" borderId="0" xfId="0" applyFill="1" applyBorder="1"/>
    <xf numFmtId="0" fontId="6" fillId="5" borderId="0" xfId="0" applyFont="1" applyFill="1" applyBorder="1"/>
    <xf numFmtId="0" fontId="7" fillId="4" borderId="0" xfId="0" applyFont="1" applyFill="1" applyBorder="1"/>
    <xf numFmtId="0" fontId="0" fillId="5" borderId="0" xfId="0" applyFill="1" applyBorder="1"/>
    <xf numFmtId="0" fontId="1" fillId="0" borderId="4" xfId="0" applyFont="1" applyBorder="1"/>
    <xf numFmtId="0" fontId="1" fillId="0" borderId="5" xfId="0" applyFont="1" applyBorder="1"/>
    <xf numFmtId="0" fontId="0" fillId="0" borderId="5" xfId="0" applyBorder="1"/>
    <xf numFmtId="0" fontId="6" fillId="0" borderId="5" xfId="0" applyFont="1" applyBorder="1"/>
    <xf numFmtId="0" fontId="7" fillId="0" borderId="5" xfId="0" applyFont="1" applyBorder="1"/>
    <xf numFmtId="2" fontId="0" fillId="0" borderId="6" xfId="0" applyNumberFormat="1" applyBorder="1"/>
    <xf numFmtId="2" fontId="0" fillId="0" borderId="7" xfId="0" applyNumberFormat="1" applyBorder="1"/>
    <xf numFmtId="2" fontId="0" fillId="6" borderId="7" xfId="0" applyNumberFormat="1" applyFill="1" applyBorder="1"/>
    <xf numFmtId="2" fontId="0" fillId="0" borderId="8" xfId="0" applyNumberFormat="1" applyBorder="1"/>
    <xf numFmtId="164" fontId="1" fillId="2" borderId="9" xfId="0" applyNumberFormat="1" applyFont="1" applyFill="1" applyBorder="1"/>
    <xf numFmtId="164" fontId="1" fillId="2" borderId="10" xfId="0" applyNumberFormat="1" applyFont="1" applyFill="1" applyBorder="1"/>
    <xf numFmtId="164" fontId="1" fillId="0" borderId="10" xfId="0" applyNumberFormat="1" applyFont="1" applyBorder="1"/>
    <xf numFmtId="164" fontId="1" fillId="2" borderId="11" xfId="0" applyNumberFormat="1" applyFont="1" applyFill="1" applyBorder="1"/>
    <xf numFmtId="2" fontId="9" fillId="0" borderId="12" xfId="0" applyNumberFormat="1" applyFont="1" applyBorder="1"/>
    <xf numFmtId="2" fontId="9" fillId="0" borderId="13" xfId="0" applyNumberFormat="1" applyFont="1" applyBorder="1"/>
    <xf numFmtId="2" fontId="9" fillId="6" borderId="13" xfId="0" applyNumberFormat="1" applyFont="1" applyFill="1" applyBorder="1"/>
    <xf numFmtId="2" fontId="9" fillId="0" borderId="14" xfId="0" applyNumberFormat="1" applyFont="1" applyBorder="1"/>
    <xf numFmtId="0" fontId="9" fillId="0" borderId="12" xfId="0" applyFont="1" applyBorder="1"/>
    <xf numFmtId="0" fontId="9" fillId="0" borderId="13" xfId="0" applyFont="1" applyBorder="1"/>
    <xf numFmtId="0" fontId="9" fillId="6" borderId="13" xfId="0" applyFont="1" applyFill="1" applyBorder="1"/>
    <xf numFmtId="0" fontId="9" fillId="0" borderId="14" xfId="0" applyFont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0" borderId="10" xfId="0" applyFont="1" applyBorder="1"/>
    <xf numFmtId="0" fontId="5" fillId="5" borderId="10" xfId="0" applyFont="1" applyFill="1" applyBorder="1"/>
    <xf numFmtId="0" fontId="1" fillId="0" borderId="11" xfId="0" applyFont="1" applyBorder="1"/>
    <xf numFmtId="0" fontId="2" fillId="3" borderId="0" xfId="0" applyFont="1" applyFill="1"/>
    <xf numFmtId="2" fontId="0" fillId="3" borderId="0" xfId="0" applyNumberFormat="1" applyFill="1"/>
  </cellXfs>
  <cellStyles count="8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4"/>
  <sheetViews>
    <sheetView tabSelected="1" workbookViewId="0"/>
  </sheetViews>
  <sheetFormatPr baseColWidth="10" defaultRowHeight="15" x14ac:dyDescent="0"/>
  <cols>
    <col min="3" max="4" width="10.83203125" style="1"/>
    <col min="5" max="5" width="5.83203125" customWidth="1"/>
    <col min="6" max="6" width="6.6640625" customWidth="1"/>
    <col min="7" max="7" width="10.83203125" style="5"/>
    <col min="9" max="9" width="10.83203125" style="6"/>
    <col min="10" max="10" width="7.33203125" customWidth="1"/>
    <col min="11" max="11" width="10.83203125" style="1"/>
    <col min="14" max="14" width="14.5" style="1" customWidth="1"/>
    <col min="16" max="16" width="10.83203125" style="5"/>
    <col min="17" max="17" width="7.33203125" style="6" customWidth="1"/>
    <col min="20" max="20" width="10.83203125" style="7"/>
    <col min="21" max="21" width="12.5" style="7" customWidth="1"/>
    <col min="24" max="25" width="10.83203125" style="1"/>
    <col min="26" max="26" width="5.83203125" customWidth="1"/>
    <col min="27" max="27" width="6.6640625" customWidth="1"/>
    <col min="28" max="28" width="10.83203125" style="5"/>
    <col min="30" max="30" width="10.83203125" style="6"/>
    <col min="31" max="31" width="7.33203125" customWidth="1"/>
    <col min="32" max="32" width="10.83203125" style="1"/>
    <col min="37" max="37" width="14.5" style="21" customWidth="1"/>
    <col min="39" max="39" width="10.83203125" style="5"/>
    <col min="40" max="40" width="7.33203125" style="6" customWidth="1"/>
    <col min="43" max="43" width="10.83203125" style="23"/>
    <col min="44" max="44" width="10.83203125" style="75"/>
    <col min="45" max="45" width="10.83203125" style="10"/>
  </cols>
  <sheetData>
    <row r="1" spans="1:45" s="3" customFormat="1" ht="16" thickBot="1">
      <c r="C1" s="2" t="s">
        <v>7</v>
      </c>
      <c r="D1" s="2" t="s">
        <v>8</v>
      </c>
      <c r="F1" s="3" t="s">
        <v>0</v>
      </c>
      <c r="G1" s="5" t="s">
        <v>1</v>
      </c>
      <c r="H1" s="3" t="s">
        <v>5</v>
      </c>
      <c r="I1" s="5" t="s">
        <v>6</v>
      </c>
      <c r="K1" s="2" t="s">
        <v>9</v>
      </c>
      <c r="L1" s="3" t="s">
        <v>2</v>
      </c>
      <c r="N1" s="2" t="s">
        <v>25</v>
      </c>
      <c r="O1" s="17" t="s">
        <v>3</v>
      </c>
      <c r="P1" s="5" t="s">
        <v>4</v>
      </c>
      <c r="Q1" s="5"/>
      <c r="R1" s="3" t="s">
        <v>11</v>
      </c>
      <c r="S1" s="3" t="s">
        <v>12</v>
      </c>
      <c r="T1" s="19" t="s">
        <v>10</v>
      </c>
      <c r="U1" s="8"/>
      <c r="V1" s="2" t="s">
        <v>7</v>
      </c>
      <c r="W1" s="2" t="s">
        <v>8</v>
      </c>
      <c r="Y1" s="3" t="s">
        <v>0</v>
      </c>
      <c r="Z1" s="5" t="s">
        <v>1</v>
      </c>
      <c r="AA1" s="3" t="s">
        <v>5</v>
      </c>
      <c r="AB1" s="5" t="s">
        <v>6</v>
      </c>
      <c r="AD1" s="2" t="s">
        <v>9</v>
      </c>
      <c r="AE1" s="3" t="s">
        <v>2</v>
      </c>
      <c r="AG1" s="20" t="s">
        <v>26</v>
      </c>
      <c r="AH1" s="20" t="s">
        <v>29</v>
      </c>
      <c r="AI1" s="17" t="s">
        <v>3</v>
      </c>
      <c r="AJ1" s="17" t="s">
        <v>30</v>
      </c>
      <c r="AK1" s="5" t="s">
        <v>4</v>
      </c>
      <c r="AL1" s="5"/>
      <c r="AM1" s="3" t="s">
        <v>11</v>
      </c>
      <c r="AN1" s="3" t="s">
        <v>12</v>
      </c>
      <c r="AO1" s="22" t="s">
        <v>27</v>
      </c>
      <c r="AP1" s="22" t="s">
        <v>28</v>
      </c>
      <c r="AQ1" s="17" t="s">
        <v>31</v>
      </c>
      <c r="AR1" s="74"/>
      <c r="AS1" s="74"/>
    </row>
    <row r="2" spans="1:45">
      <c r="C2" s="24">
        <v>10</v>
      </c>
      <c r="D2" s="25">
        <v>0.52</v>
      </c>
      <c r="E2" s="26"/>
      <c r="F2" s="26">
        <f>ROUND(C2^D2, 0)</f>
        <v>3</v>
      </c>
      <c r="G2" s="27">
        <f>C2*F2</f>
        <v>30</v>
      </c>
      <c r="H2" s="26">
        <f>C2*(F2-1)</f>
        <v>20</v>
      </c>
      <c r="I2" s="28">
        <f>(F2-1)/F2</f>
        <v>0.66666666666666663</v>
      </c>
      <c r="J2" s="26"/>
      <c r="K2" s="25">
        <v>0.75</v>
      </c>
      <c r="L2" s="26">
        <f>ROUND(K2*C2*LN(C2),0)</f>
        <v>17</v>
      </c>
      <c r="M2" s="26"/>
      <c r="N2" s="69">
        <v>0.48</v>
      </c>
      <c r="O2" s="26">
        <f>ROUND(N2*(F2^2),0)</f>
        <v>4</v>
      </c>
      <c r="P2" s="27">
        <f>L2*O2</f>
        <v>68</v>
      </c>
      <c r="Q2" s="29"/>
      <c r="R2" s="26" t="b">
        <f>IF(D2&gt;1/2,TRUE,FALSE)</f>
        <v>1</v>
      </c>
      <c r="S2" s="30" t="b">
        <f>IF(N2&lt;=1/2,TRUE,FALSE)</f>
        <v>1</v>
      </c>
      <c r="T2" s="65">
        <f>-D2/(LN(1-N2))</f>
        <v>0.79519644167670966</v>
      </c>
      <c r="U2"/>
      <c r="V2" s="24">
        <v>10</v>
      </c>
      <c r="W2" s="25">
        <v>0.52</v>
      </c>
      <c r="X2" s="26"/>
      <c r="Y2" s="26">
        <f>ROUND(V2^W2, 0)</f>
        <v>3</v>
      </c>
      <c r="Z2" s="27">
        <f>V2*Y2</f>
        <v>30</v>
      </c>
      <c r="AA2" s="26">
        <f>V2*(Y2-1)</f>
        <v>20</v>
      </c>
      <c r="AB2" s="28">
        <f>(Y2-1)/Y2</f>
        <v>0.66666666666666663</v>
      </c>
      <c r="AC2" s="26"/>
      <c r="AD2" s="25">
        <v>0.75</v>
      </c>
      <c r="AE2" s="26">
        <f>ROUND(AD2*V2*LN(V2),0)</f>
        <v>17</v>
      </c>
      <c r="AF2" s="26"/>
      <c r="AG2" s="57">
        <f>N2/F2</f>
        <v>0.16</v>
      </c>
      <c r="AH2" s="57">
        <f>AG2-N2</f>
        <v>-0.31999999999999995</v>
      </c>
      <c r="AI2" s="26">
        <f>ROUND(AG2*(Y2^2),0)</f>
        <v>1</v>
      </c>
      <c r="AJ2" s="26">
        <f>AI2-O2</f>
        <v>-3</v>
      </c>
      <c r="AK2" s="27">
        <f>AE2*AI2</f>
        <v>17</v>
      </c>
      <c r="AL2" s="29"/>
      <c r="AM2" s="26" t="b">
        <f>IF(W2&gt;1/2,TRUE,FALSE)</f>
        <v>1</v>
      </c>
      <c r="AN2" s="30" t="b">
        <f>IF(AG2&lt;=1/2,TRUE,FALSE)</f>
        <v>1</v>
      </c>
      <c r="AO2" s="61">
        <f>-W2/(LN(1-AG2))</f>
        <v>2.9824485117011674</v>
      </c>
      <c r="AP2" s="53">
        <f>T2</f>
        <v>0.79519644167670966</v>
      </c>
      <c r="AQ2" s="23">
        <f>AO2-AP2</f>
        <v>2.1872520700244578</v>
      </c>
    </row>
    <row r="3" spans="1:45">
      <c r="C3" s="31">
        <v>10</v>
      </c>
      <c r="D3" s="32">
        <v>0.75</v>
      </c>
      <c r="E3" s="33"/>
      <c r="F3" s="33">
        <f>ROUND(C3^D3, 0)</f>
        <v>6</v>
      </c>
      <c r="G3" s="34">
        <f>C3*F3</f>
        <v>60</v>
      </c>
      <c r="H3" s="33">
        <f>C3*(F3-1)</f>
        <v>50</v>
      </c>
      <c r="I3" s="35">
        <f>(F3-1)/F3</f>
        <v>0.83333333333333337</v>
      </c>
      <c r="J3" s="33"/>
      <c r="K3" s="32">
        <v>2.6</v>
      </c>
      <c r="L3" s="33">
        <f>ROUND(K3*C3*LN(C3),0)</f>
        <v>60</v>
      </c>
      <c r="M3" s="33"/>
      <c r="N3" s="70">
        <v>0.25</v>
      </c>
      <c r="O3" s="33">
        <f>ROUND(N3*(F3^2),0)</f>
        <v>9</v>
      </c>
      <c r="P3" s="34">
        <f>L3*O3</f>
        <v>540</v>
      </c>
      <c r="Q3" s="36"/>
      <c r="R3" s="33" t="b">
        <f>IF(D3&gt;1/2,TRUE,FALSE)</f>
        <v>1</v>
      </c>
      <c r="S3" s="37" t="b">
        <f>IF(N3&lt;=1/2,TRUE,FALSE)</f>
        <v>1</v>
      </c>
      <c r="T3" s="66">
        <f>-D3/(LN(1-N3))</f>
        <v>2.6070446225866553</v>
      </c>
      <c r="U3"/>
      <c r="V3" s="31">
        <v>10</v>
      </c>
      <c r="W3" s="32">
        <v>0.75</v>
      </c>
      <c r="X3" s="33"/>
      <c r="Y3" s="33">
        <f>ROUND(V3^W3, 0)</f>
        <v>6</v>
      </c>
      <c r="Z3" s="34">
        <f>V3*Y3</f>
        <v>60</v>
      </c>
      <c r="AA3" s="33">
        <f>V3*(Y3-1)</f>
        <v>50</v>
      </c>
      <c r="AB3" s="35">
        <f>(Y3-1)/Y3</f>
        <v>0.83333333333333337</v>
      </c>
      <c r="AC3" s="33"/>
      <c r="AD3" s="32">
        <v>2.6</v>
      </c>
      <c r="AE3" s="33">
        <f>ROUND(AD3*V3*LN(V3),0)</f>
        <v>60</v>
      </c>
      <c r="AF3" s="33"/>
      <c r="AG3" s="58">
        <f>N3/F3</f>
        <v>4.1666666666666664E-2</v>
      </c>
      <c r="AH3" s="58">
        <f>AG3-N3</f>
        <v>-0.20833333333333334</v>
      </c>
      <c r="AI3" s="33">
        <f>ROUND(AG3*(Y3^2),0)</f>
        <v>2</v>
      </c>
      <c r="AJ3" s="33">
        <f>AI3-O3</f>
        <v>-7</v>
      </c>
      <c r="AK3" s="34">
        <f>AE3*AI3</f>
        <v>120</v>
      </c>
      <c r="AL3" s="36"/>
      <c r="AM3" s="33" t="b">
        <f>IF(W3&gt;1/2,TRUE,FALSE)</f>
        <v>1</v>
      </c>
      <c r="AN3" s="37" t="b">
        <f>IF(AG3&lt;=1/2,TRUE,FALSE)</f>
        <v>1</v>
      </c>
      <c r="AO3" s="62">
        <f>-W3/(LN(1-AG3))</f>
        <v>17.622340104396539</v>
      </c>
      <c r="AP3" s="54">
        <f>T3</f>
        <v>2.6070446225866553</v>
      </c>
      <c r="AQ3" s="23">
        <f>AO3-AP3</f>
        <v>15.015295481809883</v>
      </c>
    </row>
    <row r="4" spans="1:45">
      <c r="C4" s="38"/>
      <c r="D4" s="39"/>
      <c r="E4" s="33"/>
      <c r="F4" s="33"/>
      <c r="G4" s="40"/>
      <c r="H4" s="33"/>
      <c r="I4" s="36"/>
      <c r="J4" s="33"/>
      <c r="K4" s="39"/>
      <c r="L4" s="33"/>
      <c r="M4" s="33"/>
      <c r="N4" s="71"/>
      <c r="O4" s="33"/>
      <c r="P4" s="40"/>
      <c r="Q4" s="36"/>
      <c r="R4" s="33"/>
      <c r="S4" s="33"/>
      <c r="T4" s="66"/>
      <c r="U4"/>
      <c r="V4" s="38"/>
      <c r="W4" s="39"/>
      <c r="X4" s="33"/>
      <c r="Y4" s="33"/>
      <c r="Z4" s="40"/>
      <c r="AA4" s="33"/>
      <c r="AB4" s="36"/>
      <c r="AC4" s="33"/>
      <c r="AD4" s="39"/>
      <c r="AE4" s="33"/>
      <c r="AF4" s="33"/>
      <c r="AG4" s="59"/>
      <c r="AH4" s="59"/>
      <c r="AI4" s="33"/>
      <c r="AJ4" s="33"/>
      <c r="AK4" s="40"/>
      <c r="AL4" s="36"/>
      <c r="AM4" s="33"/>
      <c r="AN4" s="33"/>
      <c r="AO4" s="62"/>
      <c r="AP4" s="54"/>
    </row>
    <row r="5" spans="1:45">
      <c r="C5" s="31">
        <v>20</v>
      </c>
      <c r="D5" s="32">
        <v>0.52</v>
      </c>
      <c r="E5" s="33"/>
      <c r="F5" s="33">
        <f t="shared" ref="F5:F8" si="0">ROUND(C5^D5, 0)</f>
        <v>5</v>
      </c>
      <c r="G5" s="34">
        <f t="shared" ref="G5:G8" si="1">C5*F5</f>
        <v>100</v>
      </c>
      <c r="H5" s="33">
        <f t="shared" ref="H5:H8" si="2">C5*(F5-1)</f>
        <v>80</v>
      </c>
      <c r="I5" s="35">
        <f t="shared" ref="I5:I8" si="3">(F5-1)/F5</f>
        <v>0.8</v>
      </c>
      <c r="J5" s="33"/>
      <c r="K5" s="32">
        <v>0.75</v>
      </c>
      <c r="L5" s="33">
        <f>ROUND(K5*C5*LN(C5),0)</f>
        <v>45</v>
      </c>
      <c r="M5" s="33"/>
      <c r="N5" s="70">
        <v>0.48</v>
      </c>
      <c r="O5" s="33">
        <f>ROUND(N5*(F5^2),0)</f>
        <v>12</v>
      </c>
      <c r="P5" s="34">
        <f>L5*O5</f>
        <v>540</v>
      </c>
      <c r="Q5" s="36"/>
      <c r="R5" s="33" t="b">
        <f>IF(D5&gt;1/2,TRUE,FALSE)</f>
        <v>1</v>
      </c>
      <c r="S5" s="37" t="b">
        <f>IF(N5&lt;=1/2,TRUE,FALSE)</f>
        <v>1</v>
      </c>
      <c r="T5" s="66">
        <f>-D5/(LN(1-N5))</f>
        <v>0.79519644167670966</v>
      </c>
      <c r="U5"/>
      <c r="V5" s="31">
        <v>20</v>
      </c>
      <c r="W5" s="32">
        <v>0.52</v>
      </c>
      <c r="X5" s="33"/>
      <c r="Y5" s="33">
        <f t="shared" ref="Y5:Y8" si="4">ROUND(V5^W5, 0)</f>
        <v>5</v>
      </c>
      <c r="Z5" s="34">
        <f t="shared" ref="Z5:Z8" si="5">V5*Y5</f>
        <v>100</v>
      </c>
      <c r="AA5" s="33">
        <f t="shared" ref="AA5:AA8" si="6">V5*(Y5-1)</f>
        <v>80</v>
      </c>
      <c r="AB5" s="35">
        <f t="shared" ref="AB5:AB8" si="7">(Y5-1)/Y5</f>
        <v>0.8</v>
      </c>
      <c r="AC5" s="33"/>
      <c r="AD5" s="32">
        <v>0.75</v>
      </c>
      <c r="AE5" s="33">
        <f>ROUND(AD5*V5*LN(V5),0)</f>
        <v>45</v>
      </c>
      <c r="AF5" s="33"/>
      <c r="AG5" s="58">
        <f>N5/F5</f>
        <v>9.6000000000000002E-2</v>
      </c>
      <c r="AH5" s="58">
        <f t="shared" ref="AH5:AH8" si="8">AG5-N5</f>
        <v>-0.38400000000000001</v>
      </c>
      <c r="AI5" s="33">
        <f>ROUND(AG5*(Y5^2),0)</f>
        <v>2</v>
      </c>
      <c r="AJ5" s="33">
        <f>AI5-O5</f>
        <v>-10</v>
      </c>
      <c r="AK5" s="34">
        <f>AE5*AI5</f>
        <v>90</v>
      </c>
      <c r="AL5" s="36"/>
      <c r="AM5" s="33" t="b">
        <f>IF(W5&gt;1/2,TRUE,FALSE)</f>
        <v>1</v>
      </c>
      <c r="AN5" s="37" t="b">
        <f>IF(AG5&lt;=1/2,TRUE,FALSE)</f>
        <v>1</v>
      </c>
      <c r="AO5" s="62">
        <f>-W5/(LN(1-AG5))</f>
        <v>5.1522939524845341</v>
      </c>
      <c r="AP5" s="54">
        <f>T5</f>
        <v>0.79519644167670966</v>
      </c>
      <c r="AQ5" s="23">
        <f>AO5-AP5</f>
        <v>4.357097510807824</v>
      </c>
    </row>
    <row r="6" spans="1:45">
      <c r="C6" s="38">
        <v>30</v>
      </c>
      <c r="D6" s="39">
        <v>0.52</v>
      </c>
      <c r="E6" s="33"/>
      <c r="F6" s="33">
        <f t="shared" si="0"/>
        <v>6</v>
      </c>
      <c r="G6" s="40">
        <f t="shared" si="1"/>
        <v>180</v>
      </c>
      <c r="H6" s="33">
        <f t="shared" si="2"/>
        <v>150</v>
      </c>
      <c r="I6" s="36">
        <f t="shared" si="3"/>
        <v>0.83333333333333337</v>
      </c>
      <c r="J6" s="33"/>
      <c r="K6" s="39">
        <v>0.75</v>
      </c>
      <c r="L6" s="33">
        <f>ROUND(K6*C6*LN(C6),0)</f>
        <v>77</v>
      </c>
      <c r="M6" s="33"/>
      <c r="N6" s="71">
        <v>0.48</v>
      </c>
      <c r="O6" s="33">
        <f>ROUND(N6*(F6^2),0)</f>
        <v>17</v>
      </c>
      <c r="P6" s="40">
        <f>L6*O6</f>
        <v>1309</v>
      </c>
      <c r="Q6" s="36"/>
      <c r="R6" s="33" t="b">
        <f>IF(D6&gt;1/2,TRUE,FALSE)</f>
        <v>1</v>
      </c>
      <c r="S6" s="41" t="b">
        <f>IF(N6&lt;=1/2,TRUE,FALSE)</f>
        <v>1</v>
      </c>
      <c r="T6" s="66">
        <f>-D6/(LN(1-N6))</f>
        <v>0.79519644167670966</v>
      </c>
      <c r="U6"/>
      <c r="V6" s="38">
        <v>30</v>
      </c>
      <c r="W6" s="39">
        <v>0.52</v>
      </c>
      <c r="X6" s="33"/>
      <c r="Y6" s="33">
        <f t="shared" si="4"/>
        <v>6</v>
      </c>
      <c r="Z6" s="40">
        <f t="shared" si="5"/>
        <v>180</v>
      </c>
      <c r="AA6" s="33">
        <f t="shared" si="6"/>
        <v>150</v>
      </c>
      <c r="AB6" s="36">
        <f t="shared" si="7"/>
        <v>0.83333333333333337</v>
      </c>
      <c r="AC6" s="33"/>
      <c r="AD6" s="39">
        <v>0.75</v>
      </c>
      <c r="AE6" s="33">
        <f>ROUND(AD6*V6*LN(V6),0)</f>
        <v>77</v>
      </c>
      <c r="AF6" s="33"/>
      <c r="AG6" s="58">
        <f>N6/F6</f>
        <v>0.08</v>
      </c>
      <c r="AH6" s="58">
        <f t="shared" si="8"/>
        <v>-0.39999999999999997</v>
      </c>
      <c r="AI6" s="33">
        <f>ROUND(AG6*(Y6^2),0)</f>
        <v>3</v>
      </c>
      <c r="AJ6" s="33">
        <f>AI6-O6</f>
        <v>-14</v>
      </c>
      <c r="AK6" s="40">
        <f>AE6*AI6</f>
        <v>231</v>
      </c>
      <c r="AL6" s="36"/>
      <c r="AM6" s="33" t="b">
        <f>IF(W6&gt;1/2,TRUE,FALSE)</f>
        <v>1</v>
      </c>
      <c r="AN6" s="41" t="b">
        <f>IF(AG6&lt;=1/2,TRUE,FALSE)</f>
        <v>1</v>
      </c>
      <c r="AO6" s="62">
        <f>-W6/(LN(1-AG6))</f>
        <v>6.2363872155561486</v>
      </c>
      <c r="AP6" s="54">
        <f>T6</f>
        <v>0.79519644167670966</v>
      </c>
      <c r="AQ6" s="23">
        <f>AO6-AP6</f>
        <v>5.4411907738794394</v>
      </c>
    </row>
    <row r="7" spans="1:45">
      <c r="C7" s="38">
        <v>40</v>
      </c>
      <c r="D7" s="39">
        <v>0.52</v>
      </c>
      <c r="E7" s="33"/>
      <c r="F7" s="33">
        <f t="shared" si="0"/>
        <v>7</v>
      </c>
      <c r="G7" s="40">
        <f t="shared" si="1"/>
        <v>280</v>
      </c>
      <c r="H7" s="33">
        <f t="shared" si="2"/>
        <v>240</v>
      </c>
      <c r="I7" s="36">
        <f t="shared" si="3"/>
        <v>0.8571428571428571</v>
      </c>
      <c r="J7" s="33"/>
      <c r="K7" s="39">
        <v>0.75</v>
      </c>
      <c r="L7" s="33">
        <f>ROUND(K7*C7*LN(C7),0)</f>
        <v>111</v>
      </c>
      <c r="M7" s="33"/>
      <c r="N7" s="71">
        <v>0.48</v>
      </c>
      <c r="O7" s="33">
        <f>ROUND(N7*(F7^2),0)</f>
        <v>24</v>
      </c>
      <c r="P7" s="40">
        <f>L7*O7</f>
        <v>2664</v>
      </c>
      <c r="Q7" s="36"/>
      <c r="R7" s="33" t="b">
        <f>IF(D7&gt;1/2,TRUE,FALSE)</f>
        <v>1</v>
      </c>
      <c r="S7" s="33" t="b">
        <f>IF(N7&lt;=1/2,TRUE,FALSE)</f>
        <v>1</v>
      </c>
      <c r="T7" s="66">
        <f>-D7/(LN(1-N7))</f>
        <v>0.79519644167670966</v>
      </c>
      <c r="U7"/>
      <c r="V7" s="38">
        <v>40</v>
      </c>
      <c r="W7" s="39">
        <v>0.52</v>
      </c>
      <c r="X7" s="33"/>
      <c r="Y7" s="33">
        <f t="shared" si="4"/>
        <v>7</v>
      </c>
      <c r="Z7" s="40">
        <f t="shared" si="5"/>
        <v>280</v>
      </c>
      <c r="AA7" s="33">
        <f t="shared" si="6"/>
        <v>240</v>
      </c>
      <c r="AB7" s="36">
        <f t="shared" si="7"/>
        <v>0.8571428571428571</v>
      </c>
      <c r="AC7" s="33"/>
      <c r="AD7" s="39">
        <v>0.75</v>
      </c>
      <c r="AE7" s="33">
        <f>ROUND(AD7*V7*LN(V7),0)</f>
        <v>111</v>
      </c>
      <c r="AF7" s="33"/>
      <c r="AG7" s="58">
        <f>N7/F7</f>
        <v>6.8571428571428575E-2</v>
      </c>
      <c r="AH7" s="58">
        <f t="shared" si="8"/>
        <v>-0.41142857142857142</v>
      </c>
      <c r="AI7" s="33">
        <f>ROUND(AG7*(Y7^2),0)</f>
        <v>3</v>
      </c>
      <c r="AJ7" s="33">
        <f>AI7-O7</f>
        <v>-21</v>
      </c>
      <c r="AK7" s="40">
        <f>AE7*AI7</f>
        <v>333</v>
      </c>
      <c r="AL7" s="36"/>
      <c r="AM7" s="33" t="b">
        <f>IF(W7&gt;1/2,TRUE,FALSE)</f>
        <v>1</v>
      </c>
      <c r="AN7" s="33" t="b">
        <f>IF(AG7&lt;=1/2,TRUE,FALSE)</f>
        <v>1</v>
      </c>
      <c r="AO7" s="62">
        <f>-W7/(LN(1-AG7))</f>
        <v>7.3202553753493644</v>
      </c>
      <c r="AP7" s="54">
        <f>T7</f>
        <v>0.79519644167670966</v>
      </c>
      <c r="AQ7" s="23">
        <f>AO7-AP7</f>
        <v>6.5250589336726552</v>
      </c>
    </row>
    <row r="8" spans="1:45">
      <c r="C8" s="38">
        <v>50</v>
      </c>
      <c r="D8" s="39">
        <v>0.52</v>
      </c>
      <c r="E8" s="33"/>
      <c r="F8" s="33">
        <f t="shared" si="0"/>
        <v>8</v>
      </c>
      <c r="G8" s="40">
        <f t="shared" si="1"/>
        <v>400</v>
      </c>
      <c r="H8" s="33">
        <f t="shared" si="2"/>
        <v>350</v>
      </c>
      <c r="I8" s="36">
        <f t="shared" si="3"/>
        <v>0.875</v>
      </c>
      <c r="J8" s="33"/>
      <c r="K8" s="39">
        <v>0.75</v>
      </c>
      <c r="L8" s="33">
        <f>ROUND(K8*C8*LN(C8),0)</f>
        <v>147</v>
      </c>
      <c r="M8" s="33"/>
      <c r="N8" s="71">
        <v>0.48</v>
      </c>
      <c r="O8" s="33">
        <f>ROUND(N8*(F8^2),0)</f>
        <v>31</v>
      </c>
      <c r="P8" s="40">
        <f>L8*O8</f>
        <v>4557</v>
      </c>
      <c r="Q8" s="36"/>
      <c r="R8" s="33" t="b">
        <f>IF(D8&gt;1/2,TRUE,FALSE)</f>
        <v>1</v>
      </c>
      <c r="S8" s="33" t="b">
        <f>IF(N8&lt;=1/2,TRUE,FALSE)</f>
        <v>1</v>
      </c>
      <c r="T8" s="66">
        <f>-D8/(LN(1-N8))</f>
        <v>0.79519644167670966</v>
      </c>
      <c r="U8"/>
      <c r="V8" s="38">
        <v>50</v>
      </c>
      <c r="W8" s="39">
        <v>0.52</v>
      </c>
      <c r="X8" s="33"/>
      <c r="Y8" s="33">
        <f t="shared" si="4"/>
        <v>8</v>
      </c>
      <c r="Z8" s="40">
        <f t="shared" si="5"/>
        <v>400</v>
      </c>
      <c r="AA8" s="33">
        <f t="shared" si="6"/>
        <v>350</v>
      </c>
      <c r="AB8" s="36">
        <f t="shared" si="7"/>
        <v>0.875</v>
      </c>
      <c r="AC8" s="33"/>
      <c r="AD8" s="39">
        <v>0.75</v>
      </c>
      <c r="AE8" s="33">
        <f>ROUND(AD8*V8*LN(V8),0)</f>
        <v>147</v>
      </c>
      <c r="AF8" s="33"/>
      <c r="AG8" s="58">
        <f>N8/F8</f>
        <v>0.06</v>
      </c>
      <c r="AH8" s="58">
        <f t="shared" si="8"/>
        <v>-0.42</v>
      </c>
      <c r="AI8" s="33">
        <f>ROUND(AG8*(Y8^2),0)</f>
        <v>4</v>
      </c>
      <c r="AJ8" s="33">
        <f>AI8-O8</f>
        <v>-27</v>
      </c>
      <c r="AK8" s="40">
        <f>AE8*AI8</f>
        <v>588</v>
      </c>
      <c r="AL8" s="36"/>
      <c r="AM8" s="33" t="b">
        <f>IF(W8&gt;1/2,TRUE,FALSE)</f>
        <v>1</v>
      </c>
      <c r="AN8" s="33" t="b">
        <f>IF(AG8&lt;=1/2,TRUE,FALSE)</f>
        <v>1</v>
      </c>
      <c r="AO8" s="62">
        <f>-W8/(LN(1-AG8))</f>
        <v>8.4039855702467552</v>
      </c>
      <c r="AP8" s="54">
        <f>T8</f>
        <v>0.79519644167670966</v>
      </c>
      <c r="AQ8" s="23">
        <f>AO8-AP8</f>
        <v>7.6087891285700451</v>
      </c>
    </row>
    <row r="9" spans="1:45">
      <c r="C9" s="38"/>
      <c r="D9" s="39"/>
      <c r="E9" s="33"/>
      <c r="F9" s="33"/>
      <c r="G9" s="40"/>
      <c r="H9" s="33"/>
      <c r="I9" s="36"/>
      <c r="J9" s="33"/>
      <c r="K9" s="39"/>
      <c r="L9" s="33"/>
      <c r="M9" s="33"/>
      <c r="N9" s="71"/>
      <c r="O9" s="33"/>
      <c r="P9" s="40"/>
      <c r="Q9" s="36"/>
      <c r="R9" s="33"/>
      <c r="S9" s="33"/>
      <c r="T9" s="66"/>
      <c r="V9" s="38"/>
      <c r="W9" s="39"/>
      <c r="X9" s="33"/>
      <c r="Y9" s="33"/>
      <c r="Z9" s="40"/>
      <c r="AA9" s="33"/>
      <c r="AB9" s="36"/>
      <c r="AC9" s="33"/>
      <c r="AD9" s="39"/>
      <c r="AE9" s="33"/>
      <c r="AF9" s="33"/>
      <c r="AG9" s="59"/>
      <c r="AH9" s="59"/>
      <c r="AI9" s="33"/>
      <c r="AJ9" s="33"/>
      <c r="AK9" s="40"/>
      <c r="AL9" s="36"/>
      <c r="AM9" s="33"/>
      <c r="AN9" s="33"/>
      <c r="AO9" s="62"/>
      <c r="AP9" s="54"/>
    </row>
    <row r="10" spans="1:45">
      <c r="C10" s="38"/>
      <c r="D10" s="39"/>
      <c r="E10" s="33"/>
      <c r="F10" s="33"/>
      <c r="G10" s="40"/>
      <c r="H10" s="33"/>
      <c r="I10" s="36"/>
      <c r="J10" s="33"/>
      <c r="K10" s="39"/>
      <c r="L10" s="33"/>
      <c r="M10" s="33"/>
      <c r="N10" s="71"/>
      <c r="O10" s="33"/>
      <c r="P10" s="40"/>
      <c r="Q10" s="36"/>
      <c r="R10" s="33"/>
      <c r="S10" s="33"/>
      <c r="T10" s="66"/>
      <c r="V10" s="38"/>
      <c r="W10" s="39"/>
      <c r="X10" s="33"/>
      <c r="Y10" s="33"/>
      <c r="Z10" s="40"/>
      <c r="AA10" s="33"/>
      <c r="AB10" s="36"/>
      <c r="AC10" s="33"/>
      <c r="AD10" s="39"/>
      <c r="AE10" s="33"/>
      <c r="AF10" s="33"/>
      <c r="AG10" s="59"/>
      <c r="AH10" s="59"/>
      <c r="AI10" s="33"/>
      <c r="AJ10" s="33"/>
      <c r="AK10" s="40"/>
      <c r="AL10" s="36"/>
      <c r="AM10" s="33"/>
      <c r="AN10" s="33"/>
      <c r="AO10" s="62"/>
      <c r="AP10" s="54"/>
    </row>
    <row r="11" spans="1:45">
      <c r="C11" s="38"/>
      <c r="D11" s="39"/>
      <c r="E11" s="33"/>
      <c r="F11" s="33"/>
      <c r="G11" s="40"/>
      <c r="H11" s="33"/>
      <c r="I11" s="36"/>
      <c r="J11" s="33"/>
      <c r="K11" s="39"/>
      <c r="L11" s="33"/>
      <c r="M11" s="33"/>
      <c r="N11" s="71"/>
      <c r="O11" s="33"/>
      <c r="P11" s="40"/>
      <c r="Q11" s="36"/>
      <c r="R11" s="33"/>
      <c r="S11" s="33"/>
      <c r="T11" s="66"/>
      <c r="V11" s="38"/>
      <c r="W11" s="39"/>
      <c r="X11" s="33"/>
      <c r="Y11" s="33"/>
      <c r="Z11" s="40"/>
      <c r="AA11" s="33"/>
      <c r="AB11" s="36"/>
      <c r="AC11" s="33"/>
      <c r="AD11" s="39"/>
      <c r="AE11" s="33"/>
      <c r="AF11" s="33"/>
      <c r="AG11" s="59"/>
      <c r="AH11" s="59"/>
      <c r="AI11" s="33"/>
      <c r="AJ11" s="33"/>
      <c r="AK11" s="40"/>
      <c r="AL11" s="36"/>
      <c r="AM11" s="33"/>
      <c r="AN11" s="33"/>
      <c r="AO11" s="62"/>
      <c r="AP11" s="54"/>
    </row>
    <row r="12" spans="1:45" s="15" customFormat="1">
      <c r="A12" s="16" t="s">
        <v>22</v>
      </c>
      <c r="B12" s="16"/>
      <c r="C12" s="42">
        <v>10</v>
      </c>
      <c r="D12" s="43">
        <v>0.2</v>
      </c>
      <c r="E12" s="44"/>
      <c r="F12" s="44">
        <f>ROUND(C12^D12, 0)</f>
        <v>2</v>
      </c>
      <c r="G12" s="45">
        <f t="shared" ref="G12:G14" si="9">C12*F12</f>
        <v>20</v>
      </c>
      <c r="H12" s="44">
        <f t="shared" ref="H12:H14" si="10">C12*(F12-1)</f>
        <v>10</v>
      </c>
      <c r="I12" s="46">
        <f t="shared" ref="I12:I14" si="11">(F12-1)/F12</f>
        <v>0.5</v>
      </c>
      <c r="J12" s="44"/>
      <c r="K12" s="43">
        <v>0.8</v>
      </c>
      <c r="L12" s="44">
        <f>ROUND(K12*C12*LN(C12),0)</f>
        <v>18</v>
      </c>
      <c r="M12" s="44"/>
      <c r="N12" s="72">
        <v>0.14000000000000001</v>
      </c>
      <c r="O12" s="44">
        <f>ROUND(N12*(F12^2),0)</f>
        <v>1</v>
      </c>
      <c r="P12" s="45">
        <f>L12*O12</f>
        <v>18</v>
      </c>
      <c r="Q12" s="46"/>
      <c r="R12" s="44" t="b">
        <f>IF(D12&gt;1/2,TRUE,FALSE)</f>
        <v>0</v>
      </c>
      <c r="S12" s="44" t="b">
        <f>IF(N12&lt;=1/2,TRUE,FALSE)</f>
        <v>1</v>
      </c>
      <c r="T12" s="67">
        <f>-D12/(LN(1-N12))</f>
        <v>1.3260586662406326</v>
      </c>
      <c r="V12" s="42">
        <v>10</v>
      </c>
      <c r="W12" s="43">
        <v>0.2</v>
      </c>
      <c r="X12" s="44"/>
      <c r="Y12" s="44">
        <f>ROUND(V12^W12, 0)</f>
        <v>2</v>
      </c>
      <c r="Z12" s="45">
        <f t="shared" ref="Z12:Z14" si="12">V12*Y12</f>
        <v>20</v>
      </c>
      <c r="AA12" s="44">
        <f t="shared" ref="AA12:AA14" si="13">V12*(Y12-1)</f>
        <v>10</v>
      </c>
      <c r="AB12" s="46">
        <f t="shared" ref="AB12:AB14" si="14">(Y12-1)/Y12</f>
        <v>0.5</v>
      </c>
      <c r="AC12" s="44"/>
      <c r="AD12" s="43">
        <v>0.8</v>
      </c>
      <c r="AE12" s="44">
        <f>ROUND(AD12*V12*LN(V12),0)</f>
        <v>18</v>
      </c>
      <c r="AF12" s="44"/>
      <c r="AG12" s="58">
        <f>N12/F12</f>
        <v>7.0000000000000007E-2</v>
      </c>
      <c r="AH12" s="58">
        <f t="shared" ref="AH12:AH14" si="15">AG12-N12</f>
        <v>-7.0000000000000007E-2</v>
      </c>
      <c r="AI12" s="44">
        <f>ROUND(AG12*(Y12^2),0)</f>
        <v>0</v>
      </c>
      <c r="AJ12" s="33">
        <f>AI12-O12</f>
        <v>-1</v>
      </c>
      <c r="AK12" s="45">
        <f>AE12*AI12</f>
        <v>0</v>
      </c>
      <c r="AL12" s="46"/>
      <c r="AM12" s="44" t="b">
        <f>IF(W12&gt;1/2,TRUE,FALSE)</f>
        <v>0</v>
      </c>
      <c r="AN12" s="44" t="b">
        <f>IF(AG12&lt;=1/2,TRUE,FALSE)</f>
        <v>1</v>
      </c>
      <c r="AO12" s="63">
        <f>-W12/(LN(1-AG12))</f>
        <v>2.7559334517472829</v>
      </c>
      <c r="AP12" s="55">
        <f>T12</f>
        <v>1.3260586662406326</v>
      </c>
      <c r="AQ12" s="23">
        <f>AO12-AP12</f>
        <v>1.4298747855066503</v>
      </c>
      <c r="AR12" s="10"/>
      <c r="AS12" s="10"/>
    </row>
    <row r="13" spans="1:45" s="15" customFormat="1">
      <c r="A13" s="16" t="s">
        <v>23</v>
      </c>
      <c r="B13" s="16"/>
      <c r="C13" s="42">
        <v>40</v>
      </c>
      <c r="D13" s="43">
        <v>0.7</v>
      </c>
      <c r="E13" s="44"/>
      <c r="F13" s="44">
        <f>ROUND(C13^D13, 0)</f>
        <v>13</v>
      </c>
      <c r="G13" s="45">
        <f t="shared" ref="G13" si="16">C13*F13</f>
        <v>520</v>
      </c>
      <c r="H13" s="44">
        <f t="shared" ref="H13" si="17">C13*(F13-1)</f>
        <v>480</v>
      </c>
      <c r="I13" s="46">
        <f t="shared" ref="I13" si="18">(F13-1)/F13</f>
        <v>0.92307692307692313</v>
      </c>
      <c r="J13" s="44"/>
      <c r="K13" s="43">
        <v>3</v>
      </c>
      <c r="L13" s="44">
        <f>ROUND(K13*C13*LN(C13),0)</f>
        <v>443</v>
      </c>
      <c r="M13" s="44"/>
      <c r="N13" s="72">
        <v>0.36</v>
      </c>
      <c r="O13" s="44">
        <f>ROUND(N13*(F13^2),0)</f>
        <v>61</v>
      </c>
      <c r="P13" s="45">
        <f>L13*O13</f>
        <v>27023</v>
      </c>
      <c r="Q13" s="46"/>
      <c r="R13" s="47" t="b">
        <f>IF(D13&gt;1/2,TRUE,FALSE)</f>
        <v>1</v>
      </c>
      <c r="S13" s="47" t="b">
        <f>IF(N13&lt;=1/2,TRUE,FALSE)</f>
        <v>1</v>
      </c>
      <c r="T13" s="67">
        <f>-D13/(LN(1-N13))</f>
        <v>1.5684970412035926</v>
      </c>
      <c r="V13" s="42">
        <v>40</v>
      </c>
      <c r="W13" s="43">
        <v>0.7</v>
      </c>
      <c r="X13" s="44"/>
      <c r="Y13" s="44">
        <f>ROUND(V13^W13, 0)</f>
        <v>13</v>
      </c>
      <c r="Z13" s="45">
        <f t="shared" si="12"/>
        <v>520</v>
      </c>
      <c r="AA13" s="44">
        <f t="shared" si="13"/>
        <v>480</v>
      </c>
      <c r="AB13" s="46">
        <f t="shared" si="14"/>
        <v>0.92307692307692313</v>
      </c>
      <c r="AC13" s="44"/>
      <c r="AD13" s="43">
        <v>3</v>
      </c>
      <c r="AE13" s="44">
        <f>ROUND(AD13*V13*LN(V13),0)</f>
        <v>443</v>
      </c>
      <c r="AF13" s="44"/>
      <c r="AG13" s="58">
        <f>N13/F13</f>
        <v>2.769230769230769E-2</v>
      </c>
      <c r="AH13" s="58">
        <f t="shared" si="15"/>
        <v>-0.3323076923076923</v>
      </c>
      <c r="AI13" s="44">
        <f>ROUND(AG13*(Y13^2),0)</f>
        <v>5</v>
      </c>
      <c r="AJ13" s="33">
        <f>AI13-O13</f>
        <v>-56</v>
      </c>
      <c r="AK13" s="45">
        <f>AE13*AI13</f>
        <v>2215</v>
      </c>
      <c r="AL13" s="46"/>
      <c r="AM13" s="47" t="b">
        <f>IF(W13&gt;1/2,TRUE,FALSE)</f>
        <v>1</v>
      </c>
      <c r="AN13" s="47" t="b">
        <f>IF(AG13&lt;=1/2,TRUE,FALSE)</f>
        <v>1</v>
      </c>
      <c r="AO13" s="63">
        <f>-W13/(LN(1-AG13))</f>
        <v>24.926139626133221</v>
      </c>
      <c r="AP13" s="55">
        <f>T13</f>
        <v>1.5684970412035926</v>
      </c>
      <c r="AQ13" s="23">
        <f>AO13-AP13</f>
        <v>23.357642584929629</v>
      </c>
      <c r="AR13" s="10"/>
      <c r="AS13" s="10"/>
    </row>
    <row r="14" spans="1:45">
      <c r="C14" s="38">
        <v>100</v>
      </c>
      <c r="D14" s="39">
        <v>0.6</v>
      </c>
      <c r="E14" s="33"/>
      <c r="F14" s="33">
        <f>ROUND(C14^D14, 0)</f>
        <v>16</v>
      </c>
      <c r="G14" s="40">
        <f t="shared" si="9"/>
        <v>1600</v>
      </c>
      <c r="H14" s="33">
        <f t="shared" si="10"/>
        <v>1500</v>
      </c>
      <c r="I14" s="36">
        <f t="shared" si="11"/>
        <v>0.9375</v>
      </c>
      <c r="J14" s="33"/>
      <c r="K14" s="39">
        <v>2</v>
      </c>
      <c r="L14" s="33">
        <f>ROUND(K14*C14*LN(C14),0)</f>
        <v>921</v>
      </c>
      <c r="M14" s="33"/>
      <c r="N14" s="71">
        <v>0.36</v>
      </c>
      <c r="O14" s="33">
        <f>ROUND(N14*(F14^2),0)</f>
        <v>92</v>
      </c>
      <c r="P14" s="40">
        <f>L14*O14</f>
        <v>84732</v>
      </c>
      <c r="Q14" s="36"/>
      <c r="R14" s="33" t="b">
        <f>IF(D14&gt;1/2,TRUE,FALSE)</f>
        <v>1</v>
      </c>
      <c r="S14" s="33" t="b">
        <f>IF(N14&lt;=1/2,TRUE,FALSE)</f>
        <v>1</v>
      </c>
      <c r="T14" s="66">
        <f>-D14/(LN(1-N14))</f>
        <v>1.3444260353173649</v>
      </c>
      <c r="U14"/>
      <c r="V14" s="38">
        <v>100</v>
      </c>
      <c r="W14" s="39">
        <v>0.6</v>
      </c>
      <c r="X14" s="33"/>
      <c r="Y14" s="33">
        <f>ROUND(V14^W14, 0)</f>
        <v>16</v>
      </c>
      <c r="Z14" s="40">
        <f t="shared" si="12"/>
        <v>1600</v>
      </c>
      <c r="AA14" s="33">
        <f t="shared" si="13"/>
        <v>1500</v>
      </c>
      <c r="AB14" s="36">
        <f t="shared" si="14"/>
        <v>0.9375</v>
      </c>
      <c r="AC14" s="33"/>
      <c r="AD14" s="39">
        <v>2</v>
      </c>
      <c r="AE14" s="33">
        <f>ROUND(AD14*V14*LN(V14),0)</f>
        <v>921</v>
      </c>
      <c r="AF14" s="33"/>
      <c r="AG14" s="58">
        <f>N14/F14</f>
        <v>2.2499999999999999E-2</v>
      </c>
      <c r="AH14" s="58">
        <f t="shared" si="15"/>
        <v>-0.33749999999999997</v>
      </c>
      <c r="AI14" s="33">
        <f>ROUND(AG14*(Y14^2),0)</f>
        <v>6</v>
      </c>
      <c r="AJ14" s="33">
        <f>AI14-O14</f>
        <v>-86</v>
      </c>
      <c r="AK14" s="40">
        <f>AE14*AI14</f>
        <v>5526</v>
      </c>
      <c r="AL14" s="36"/>
      <c r="AM14" s="33" t="b">
        <f>IF(W14&gt;1/2,TRUE,FALSE)</f>
        <v>1</v>
      </c>
      <c r="AN14" s="33" t="b">
        <f>IF(AG14&lt;=1/2,TRUE,FALSE)</f>
        <v>1</v>
      </c>
      <c r="AO14" s="62">
        <f>-W14/(LN(1-AG14))</f>
        <v>26.365528827131619</v>
      </c>
      <c r="AP14" s="54">
        <f>T14</f>
        <v>1.3444260353173649</v>
      </c>
      <c r="AQ14" s="23">
        <f>AO14-AP14</f>
        <v>25.021102791814254</v>
      </c>
    </row>
    <row r="15" spans="1:45">
      <c r="C15" s="38"/>
      <c r="D15" s="39"/>
      <c r="E15" s="33"/>
      <c r="F15" s="33"/>
      <c r="G15" s="40"/>
      <c r="H15" s="33"/>
      <c r="I15" s="36"/>
      <c r="J15" s="33"/>
      <c r="K15" s="39"/>
      <c r="L15" s="33"/>
      <c r="M15" s="33"/>
      <c r="N15" s="71"/>
      <c r="O15" s="33"/>
      <c r="P15" s="40"/>
      <c r="Q15" s="36"/>
      <c r="R15" s="33"/>
      <c r="S15" s="33"/>
      <c r="T15" s="66"/>
      <c r="V15" s="38"/>
      <c r="W15" s="39"/>
      <c r="X15" s="33"/>
      <c r="Y15" s="33"/>
      <c r="Z15" s="40"/>
      <c r="AA15" s="33"/>
      <c r="AB15" s="36"/>
      <c r="AC15" s="33"/>
      <c r="AD15" s="39"/>
      <c r="AE15" s="33"/>
      <c r="AF15" s="33"/>
      <c r="AG15" s="59"/>
      <c r="AH15" s="59"/>
      <c r="AI15" s="33"/>
      <c r="AJ15" s="33"/>
      <c r="AK15" s="40"/>
      <c r="AL15" s="36"/>
      <c r="AM15" s="33"/>
      <c r="AN15" s="33"/>
      <c r="AO15" s="62"/>
      <c r="AP15" s="54"/>
    </row>
    <row r="16" spans="1:45">
      <c r="C16" s="38">
        <v>20</v>
      </c>
      <c r="D16" s="39">
        <v>0.77</v>
      </c>
      <c r="E16" s="33"/>
      <c r="F16" s="33">
        <f t="shared" ref="F16:F17" si="19">ROUND(C16^D16, 0)</f>
        <v>10</v>
      </c>
      <c r="G16" s="40">
        <f t="shared" ref="G16:G17" si="20">C16*F16</f>
        <v>200</v>
      </c>
      <c r="H16" s="33">
        <f t="shared" ref="H16:H17" si="21">C16*(F16-1)</f>
        <v>180</v>
      </c>
      <c r="I16" s="36">
        <f t="shared" ref="I16:I17" si="22">(F16-1)/F16</f>
        <v>0.9</v>
      </c>
      <c r="J16" s="33"/>
      <c r="K16" s="39">
        <v>0.8</v>
      </c>
      <c r="L16" s="33">
        <f>ROUND(K16*C16*LN(C16),0)</f>
        <v>48</v>
      </c>
      <c r="M16" s="33"/>
      <c r="N16" s="71">
        <v>0.62</v>
      </c>
      <c r="O16" s="33">
        <f>ROUND(N16*(F16^2),0)</f>
        <v>62</v>
      </c>
      <c r="P16" s="40">
        <f>L16*O16</f>
        <v>2976</v>
      </c>
      <c r="Q16" s="36"/>
      <c r="R16" s="33" t="b">
        <f>IF(D16&gt;1/2,TRUE,FALSE)</f>
        <v>1</v>
      </c>
      <c r="S16" s="33" t="b">
        <f>IF(N16&lt;=1/2,TRUE,FALSE)</f>
        <v>0</v>
      </c>
      <c r="T16" s="66">
        <f>-D16/(LN(1-N16))</f>
        <v>0.79579651906297144</v>
      </c>
      <c r="U16"/>
      <c r="V16" s="38">
        <v>20</v>
      </c>
      <c r="W16" s="39">
        <v>0.77</v>
      </c>
      <c r="X16" s="33"/>
      <c r="Y16" s="33">
        <f t="shared" ref="Y16:Y17" si="23">ROUND(V16^W16, 0)</f>
        <v>10</v>
      </c>
      <c r="Z16" s="40">
        <f t="shared" ref="Z16:Z17" si="24">V16*Y16</f>
        <v>200</v>
      </c>
      <c r="AA16" s="33">
        <f t="shared" ref="AA16:AA17" si="25">V16*(Y16-1)</f>
        <v>180</v>
      </c>
      <c r="AB16" s="36">
        <f t="shared" ref="AB16:AB17" si="26">(Y16-1)/Y16</f>
        <v>0.9</v>
      </c>
      <c r="AC16" s="33"/>
      <c r="AD16" s="39">
        <v>0.8</v>
      </c>
      <c r="AE16" s="33">
        <f>ROUND(AD16*V16*LN(V16),0)</f>
        <v>48</v>
      </c>
      <c r="AF16" s="33"/>
      <c r="AG16" s="58">
        <f>N16/F16</f>
        <v>6.2E-2</v>
      </c>
      <c r="AH16" s="58">
        <f>AG16-N16</f>
        <v>-0.55800000000000005</v>
      </c>
      <c r="AI16" s="33">
        <f>ROUND(AG16*(Y16^2),0)</f>
        <v>6</v>
      </c>
      <c r="AJ16" s="33">
        <f>AI16-O16</f>
        <v>-56</v>
      </c>
      <c r="AK16" s="40">
        <f>AE16*AI16</f>
        <v>288</v>
      </c>
      <c r="AL16" s="36"/>
      <c r="AM16" s="33" t="b">
        <f>IF(W16&gt;1/2,TRUE,FALSE)</f>
        <v>1</v>
      </c>
      <c r="AN16" s="33" t="b">
        <f>IF(AG16&lt;=1/2,TRUE,FALSE)</f>
        <v>1</v>
      </c>
      <c r="AO16" s="62">
        <f>-W16/(LN(1-AG16))</f>
        <v>12.030248110427356</v>
      </c>
      <c r="AP16" s="54">
        <f>T16</f>
        <v>0.79579651906297144</v>
      </c>
      <c r="AQ16" s="23">
        <f>AO16-AP16</f>
        <v>11.234451591364385</v>
      </c>
    </row>
    <row r="17" spans="3:43">
      <c r="C17" s="38">
        <v>20</v>
      </c>
      <c r="D17" s="39">
        <v>0.77</v>
      </c>
      <c r="E17" s="33"/>
      <c r="F17" s="33">
        <f t="shared" si="19"/>
        <v>10</v>
      </c>
      <c r="G17" s="40">
        <f t="shared" si="20"/>
        <v>200</v>
      </c>
      <c r="H17" s="33">
        <f t="shared" si="21"/>
        <v>180</v>
      </c>
      <c r="I17" s="36">
        <f t="shared" si="22"/>
        <v>0.9</v>
      </c>
      <c r="J17" s="33"/>
      <c r="K17" s="39">
        <v>2.5</v>
      </c>
      <c r="L17" s="33">
        <f>ROUND(K17*C17*LN(C17),0)</f>
        <v>150</v>
      </c>
      <c r="M17" s="33"/>
      <c r="N17" s="71"/>
      <c r="O17" s="33">
        <f>ROUND(N17*(F17^2),0)</f>
        <v>0</v>
      </c>
      <c r="P17" s="40">
        <f>L17*O17</f>
        <v>0</v>
      </c>
      <c r="Q17" s="36"/>
      <c r="R17" s="33" t="b">
        <f>IF(D17&gt;1/2,TRUE,FALSE)</f>
        <v>1</v>
      </c>
      <c r="S17" s="33" t="b">
        <f>IF(N17&lt;=1/2,TRUE,FALSE)</f>
        <v>1</v>
      </c>
      <c r="T17" s="66" t="e">
        <f>-D17/(LN(1-N17))</f>
        <v>#DIV/0!</v>
      </c>
      <c r="U17"/>
      <c r="V17" s="38">
        <v>20</v>
      </c>
      <c r="W17" s="39">
        <v>0.77</v>
      </c>
      <c r="X17" s="33"/>
      <c r="Y17" s="33">
        <f t="shared" si="23"/>
        <v>10</v>
      </c>
      <c r="Z17" s="40">
        <f t="shared" si="24"/>
        <v>200</v>
      </c>
      <c r="AA17" s="33">
        <f t="shared" si="25"/>
        <v>180</v>
      </c>
      <c r="AB17" s="36">
        <f t="shared" si="26"/>
        <v>0.9</v>
      </c>
      <c r="AC17" s="33"/>
      <c r="AD17" s="39">
        <v>2.5</v>
      </c>
      <c r="AE17" s="33">
        <f>ROUND(AD17*V17*LN(V17),0)</f>
        <v>150</v>
      </c>
      <c r="AF17" s="33"/>
      <c r="AG17" s="59"/>
      <c r="AH17" s="59"/>
      <c r="AI17" s="33">
        <f>ROUND(AG17*(Y17^2),0)</f>
        <v>0</v>
      </c>
      <c r="AJ17" s="33">
        <f>AI17-O17</f>
        <v>0</v>
      </c>
      <c r="AK17" s="40">
        <f>AE17*AI17</f>
        <v>0</v>
      </c>
      <c r="AL17" s="36"/>
      <c r="AM17" s="33" t="b">
        <f>IF(W17&gt;1/2,TRUE,FALSE)</f>
        <v>1</v>
      </c>
      <c r="AN17" s="33" t="b">
        <f>IF(AG17&lt;=1/2,TRUE,FALSE)</f>
        <v>1</v>
      </c>
      <c r="AO17" s="62" t="e">
        <f>-W17/(LN(1-AG17))</f>
        <v>#DIV/0!</v>
      </c>
      <c r="AP17" s="54" t="e">
        <f>T17</f>
        <v>#DIV/0!</v>
      </c>
    </row>
    <row r="18" spans="3:43">
      <c r="C18" s="38"/>
      <c r="D18" s="39"/>
      <c r="E18" s="33"/>
      <c r="F18" s="33"/>
      <c r="G18" s="40"/>
      <c r="H18" s="33"/>
      <c r="I18" s="36"/>
      <c r="J18" s="33"/>
      <c r="K18" s="39"/>
      <c r="L18" s="33"/>
      <c r="M18" s="33"/>
      <c r="N18" s="71"/>
      <c r="O18" s="33"/>
      <c r="P18" s="40"/>
      <c r="Q18" s="36"/>
      <c r="R18" s="33"/>
      <c r="S18" s="33"/>
      <c r="T18" s="66"/>
      <c r="V18" s="38"/>
      <c r="W18" s="39"/>
      <c r="X18" s="33"/>
      <c r="Y18" s="33"/>
      <c r="Z18" s="40"/>
      <c r="AA18" s="33"/>
      <c r="AB18" s="36"/>
      <c r="AC18" s="33"/>
      <c r="AD18" s="39"/>
      <c r="AE18" s="33"/>
      <c r="AF18" s="33"/>
      <c r="AG18" s="59"/>
      <c r="AH18" s="59"/>
      <c r="AI18" s="33"/>
      <c r="AJ18" s="33"/>
      <c r="AK18" s="40"/>
      <c r="AL18" s="36"/>
      <c r="AM18" s="33"/>
      <c r="AN18" s="33"/>
      <c r="AO18" s="62"/>
      <c r="AP18" s="54"/>
    </row>
    <row r="19" spans="3:43">
      <c r="C19" s="38">
        <v>20</v>
      </c>
      <c r="D19" s="39">
        <v>0.2</v>
      </c>
      <c r="E19" s="33"/>
      <c r="F19" s="33">
        <f t="shared" ref="F19:F20" si="27">ROUND(C19^D19, 0)</f>
        <v>2</v>
      </c>
      <c r="G19" s="40">
        <f t="shared" ref="G19:G20" si="28">C19*F19</f>
        <v>40</v>
      </c>
      <c r="H19" s="33">
        <f t="shared" ref="H19:H20" si="29">C19*(F19-1)</f>
        <v>20</v>
      </c>
      <c r="I19" s="36">
        <f t="shared" ref="I19:I20" si="30">(F19-1)/F19</f>
        <v>0.5</v>
      </c>
      <c r="J19" s="33"/>
      <c r="K19" s="39">
        <v>2.5</v>
      </c>
      <c r="L19" s="33">
        <f t="shared" ref="L19:L20" si="31">ROUND(K19*C19*LN(C19),0)</f>
        <v>150</v>
      </c>
      <c r="M19" s="33"/>
      <c r="N19" s="71"/>
      <c r="O19" s="33">
        <f>ROUND(N19*(F19^2),0)</f>
        <v>0</v>
      </c>
      <c r="P19" s="40">
        <f>L19*O19</f>
        <v>0</v>
      </c>
      <c r="Q19" s="36"/>
      <c r="R19" s="33" t="b">
        <f>IF(D19&gt;1/2,TRUE,FALSE)</f>
        <v>0</v>
      </c>
      <c r="S19" s="33" t="b">
        <f>IF(N19&lt;=1/2,TRUE,FALSE)</f>
        <v>1</v>
      </c>
      <c r="T19" s="66" t="e">
        <f>-D19/(LN(1-N19))</f>
        <v>#DIV/0!</v>
      </c>
      <c r="U19"/>
      <c r="V19" s="38">
        <v>20</v>
      </c>
      <c r="W19" s="39">
        <v>0.2</v>
      </c>
      <c r="X19" s="33"/>
      <c r="Y19" s="33">
        <f t="shared" ref="Y19:Y20" si="32">ROUND(V19^W19, 0)</f>
        <v>2</v>
      </c>
      <c r="Z19" s="40">
        <f t="shared" ref="Z19:Z20" si="33">V19*Y19</f>
        <v>40</v>
      </c>
      <c r="AA19" s="33">
        <f t="shared" ref="AA19:AA20" si="34">V19*(Y19-1)</f>
        <v>20</v>
      </c>
      <c r="AB19" s="36">
        <f t="shared" ref="AB19:AB20" si="35">(Y19-1)/Y19</f>
        <v>0.5</v>
      </c>
      <c r="AC19" s="33"/>
      <c r="AD19" s="39">
        <v>2.5</v>
      </c>
      <c r="AE19" s="33">
        <f t="shared" ref="AE19:AE20" si="36">ROUND(AD19*V19*LN(V19),0)</f>
        <v>150</v>
      </c>
      <c r="AF19" s="33"/>
      <c r="AG19" s="59"/>
      <c r="AH19" s="59"/>
      <c r="AI19" s="33">
        <f>ROUND(AG19*(Y19^2),0)</f>
        <v>0</v>
      </c>
      <c r="AJ19" s="33">
        <f>AI19-O19</f>
        <v>0</v>
      </c>
      <c r="AK19" s="40">
        <f>AE19*AI19</f>
        <v>0</v>
      </c>
      <c r="AL19" s="36"/>
      <c r="AM19" s="33" t="b">
        <f>IF(W19&gt;1/2,TRUE,FALSE)</f>
        <v>0</v>
      </c>
      <c r="AN19" s="33" t="b">
        <f>IF(AG19&lt;=1/2,TRUE,FALSE)</f>
        <v>1</v>
      </c>
      <c r="AO19" s="62" t="e">
        <f>-W19/(LN(1-AG19))</f>
        <v>#DIV/0!</v>
      </c>
      <c r="AP19" s="54" t="e">
        <f>T19</f>
        <v>#DIV/0!</v>
      </c>
    </row>
    <row r="20" spans="3:43">
      <c r="C20" s="38">
        <v>20</v>
      </c>
      <c r="D20" s="39">
        <v>1</v>
      </c>
      <c r="E20" s="33"/>
      <c r="F20" s="33">
        <f t="shared" si="27"/>
        <v>20</v>
      </c>
      <c r="G20" s="40">
        <f t="shared" si="28"/>
        <v>400</v>
      </c>
      <c r="H20" s="33">
        <f t="shared" si="29"/>
        <v>380</v>
      </c>
      <c r="I20" s="36">
        <f t="shared" si="30"/>
        <v>0.95</v>
      </c>
      <c r="J20" s="33"/>
      <c r="K20" s="39">
        <v>2.5</v>
      </c>
      <c r="L20" s="33">
        <f t="shared" si="31"/>
        <v>150</v>
      </c>
      <c r="M20" s="33"/>
      <c r="N20" s="71"/>
      <c r="O20" s="33">
        <f>ROUND(N20*(F20^2),0)</f>
        <v>0</v>
      </c>
      <c r="P20" s="40">
        <f>L20*O20</f>
        <v>0</v>
      </c>
      <c r="Q20" s="36"/>
      <c r="R20" s="33" t="b">
        <f>IF(D20&gt;1/2,TRUE,FALSE)</f>
        <v>1</v>
      </c>
      <c r="S20" s="33" t="b">
        <f>IF(N20&lt;=1/2,TRUE,FALSE)</f>
        <v>1</v>
      </c>
      <c r="T20" s="66" t="e">
        <f>-D20/(LN(1-N20))</f>
        <v>#DIV/0!</v>
      </c>
      <c r="U20"/>
      <c r="V20" s="38">
        <v>20</v>
      </c>
      <c r="W20" s="39">
        <v>1</v>
      </c>
      <c r="X20" s="33"/>
      <c r="Y20" s="33">
        <f t="shared" si="32"/>
        <v>20</v>
      </c>
      <c r="Z20" s="40">
        <f t="shared" si="33"/>
        <v>400</v>
      </c>
      <c r="AA20" s="33">
        <f t="shared" si="34"/>
        <v>380</v>
      </c>
      <c r="AB20" s="36">
        <f t="shared" si="35"/>
        <v>0.95</v>
      </c>
      <c r="AC20" s="33"/>
      <c r="AD20" s="39">
        <v>2.5</v>
      </c>
      <c r="AE20" s="33">
        <f t="shared" si="36"/>
        <v>150</v>
      </c>
      <c r="AF20" s="33"/>
      <c r="AG20" s="59"/>
      <c r="AH20" s="59"/>
      <c r="AI20" s="33">
        <f>ROUND(AG20*(Y20^2),0)</f>
        <v>0</v>
      </c>
      <c r="AJ20" s="33">
        <f>AI20-O20</f>
        <v>0</v>
      </c>
      <c r="AK20" s="40">
        <f>AE20*AI20</f>
        <v>0</v>
      </c>
      <c r="AL20" s="36"/>
      <c r="AM20" s="33" t="b">
        <f>IF(W20&gt;1/2,TRUE,FALSE)</f>
        <v>1</v>
      </c>
      <c r="AN20" s="33" t="b">
        <f>IF(AG20&lt;=1/2,TRUE,FALSE)</f>
        <v>1</v>
      </c>
      <c r="AO20" s="62" t="e">
        <f>-W20/(LN(1-AG20))</f>
        <v>#DIV/0!</v>
      </c>
      <c r="AP20" s="54" t="e">
        <f>T20</f>
        <v>#DIV/0!</v>
      </c>
    </row>
    <row r="21" spans="3:43">
      <c r="C21" s="38"/>
      <c r="D21" s="39"/>
      <c r="E21" s="33"/>
      <c r="F21" s="33"/>
      <c r="G21" s="40"/>
      <c r="H21" s="33"/>
      <c r="I21" s="36"/>
      <c r="J21" s="33"/>
      <c r="K21" s="39"/>
      <c r="L21" s="33"/>
      <c r="M21" s="33"/>
      <c r="N21" s="71"/>
      <c r="O21" s="33"/>
      <c r="P21" s="40"/>
      <c r="Q21" s="36"/>
      <c r="R21" s="33"/>
      <c r="S21" s="33"/>
      <c r="T21" s="66"/>
      <c r="V21" s="38"/>
      <c r="W21" s="39"/>
      <c r="X21" s="33"/>
      <c r="Y21" s="33"/>
      <c r="Z21" s="40"/>
      <c r="AA21" s="33"/>
      <c r="AB21" s="36"/>
      <c r="AC21" s="33"/>
      <c r="AD21" s="39"/>
      <c r="AE21" s="33"/>
      <c r="AF21" s="33"/>
      <c r="AG21" s="59"/>
      <c r="AH21" s="59"/>
      <c r="AI21" s="33"/>
      <c r="AJ21" s="33"/>
      <c r="AK21" s="40"/>
      <c r="AL21" s="36"/>
      <c r="AM21" s="33"/>
      <c r="AN21" s="33"/>
      <c r="AO21" s="62"/>
      <c r="AP21" s="54"/>
    </row>
    <row r="22" spans="3:43">
      <c r="C22" s="38"/>
      <c r="D22" s="39"/>
      <c r="E22" s="33"/>
      <c r="F22" s="33"/>
      <c r="G22" s="40"/>
      <c r="H22" s="33"/>
      <c r="I22" s="36"/>
      <c r="J22" s="33"/>
      <c r="K22" s="39"/>
      <c r="L22" s="33"/>
      <c r="M22" s="33"/>
      <c r="N22" s="71"/>
      <c r="O22" s="33"/>
      <c r="P22" s="40"/>
      <c r="Q22" s="36"/>
      <c r="R22" s="33"/>
      <c r="S22" s="33"/>
      <c r="T22" s="66"/>
      <c r="V22" s="38"/>
      <c r="W22" s="39"/>
      <c r="X22" s="33"/>
      <c r="Y22" s="33"/>
      <c r="Z22" s="40"/>
      <c r="AA22" s="33"/>
      <c r="AB22" s="36"/>
      <c r="AC22" s="33"/>
      <c r="AD22" s="39"/>
      <c r="AE22" s="33"/>
      <c r="AF22" s="33"/>
      <c r="AG22" s="59"/>
      <c r="AH22" s="59"/>
      <c r="AI22" s="33"/>
      <c r="AJ22" s="33"/>
      <c r="AK22" s="40"/>
      <c r="AL22" s="36"/>
      <c r="AM22" s="33"/>
      <c r="AN22" s="33"/>
      <c r="AO22" s="62"/>
      <c r="AP22" s="54"/>
    </row>
    <row r="23" spans="3:43">
      <c r="C23" s="38">
        <v>20</v>
      </c>
      <c r="D23" s="39">
        <v>0.8</v>
      </c>
      <c r="E23" s="33"/>
      <c r="F23" s="33">
        <f t="shared" ref="F23:F25" si="37">ROUND(C23^D23, 0)</f>
        <v>11</v>
      </c>
      <c r="G23" s="40">
        <f t="shared" ref="G23:G25" si="38">C23*F23</f>
        <v>220</v>
      </c>
      <c r="H23" s="33">
        <f t="shared" ref="H23:H25" si="39">C23*(F23-1)</f>
        <v>200</v>
      </c>
      <c r="I23" s="36">
        <f t="shared" ref="I23:I25" si="40">(F23-1)/F23</f>
        <v>0.90909090909090906</v>
      </c>
      <c r="J23" s="33"/>
      <c r="K23" s="39">
        <v>3</v>
      </c>
      <c r="L23" s="33">
        <f t="shared" ref="L23:L25" si="41">ROUND(K23*C23*LN(C23),0)</f>
        <v>180</v>
      </c>
      <c r="M23" s="33"/>
      <c r="N23" s="71">
        <v>0.23</v>
      </c>
      <c r="O23" s="33">
        <f>ROUND(N23*(F23^2),0)</f>
        <v>28</v>
      </c>
      <c r="P23" s="40">
        <f>L23*O23</f>
        <v>5040</v>
      </c>
      <c r="Q23" s="36"/>
      <c r="R23" s="33" t="b">
        <f>IF(D23&gt;1/2,TRUE,FALSE)</f>
        <v>1</v>
      </c>
      <c r="S23" s="33" t="b">
        <f>IF(N23&lt;=1/2,TRUE,FALSE)</f>
        <v>1</v>
      </c>
      <c r="T23" s="66">
        <f>-D23/(LN(1-N23))</f>
        <v>3.0608563577781966</v>
      </c>
      <c r="U23"/>
      <c r="V23" s="38">
        <v>20</v>
      </c>
      <c r="W23" s="39">
        <v>0.8</v>
      </c>
      <c r="X23" s="33"/>
      <c r="Y23" s="33">
        <f t="shared" ref="Y23:Y25" si="42">ROUND(V23^W23, 0)</f>
        <v>11</v>
      </c>
      <c r="Z23" s="40">
        <f t="shared" ref="Z23:Z25" si="43">V23*Y23</f>
        <v>220</v>
      </c>
      <c r="AA23" s="33">
        <f t="shared" ref="AA23:AA25" si="44">V23*(Y23-1)</f>
        <v>200</v>
      </c>
      <c r="AB23" s="36">
        <f t="shared" ref="AB23:AB25" si="45">(Y23-1)/Y23</f>
        <v>0.90909090909090906</v>
      </c>
      <c r="AC23" s="33"/>
      <c r="AD23" s="39">
        <v>3</v>
      </c>
      <c r="AE23" s="33">
        <f t="shared" ref="AE23:AE25" si="46">ROUND(AD23*V23*LN(V23),0)</f>
        <v>180</v>
      </c>
      <c r="AF23" s="33"/>
      <c r="AG23" s="58">
        <f>N23/F23</f>
        <v>2.0909090909090908E-2</v>
      </c>
      <c r="AH23" s="58">
        <f>AG23-N23</f>
        <v>-0.20909090909090911</v>
      </c>
      <c r="AI23" s="33">
        <f>ROUND(AG23*(Y23^2),0)</f>
        <v>3</v>
      </c>
      <c r="AJ23" s="33">
        <f>AI23-O23</f>
        <v>-25</v>
      </c>
      <c r="AK23" s="40">
        <f>AE23*AI23</f>
        <v>540</v>
      </c>
      <c r="AL23" s="36"/>
      <c r="AM23" s="33" t="b">
        <f>IF(W23&gt;1/2,TRUE,FALSE)</f>
        <v>1</v>
      </c>
      <c r="AN23" s="33" t="b">
        <f>IF(AG23&lt;=1/2,TRUE,FALSE)</f>
        <v>1</v>
      </c>
      <c r="AO23" s="62">
        <f>-W23/(LN(1-AG23))</f>
        <v>37.859460856925452</v>
      </c>
      <c r="AP23" s="54">
        <f>T23</f>
        <v>3.0608563577781966</v>
      </c>
      <c r="AQ23" s="23">
        <f>AO23-AP23</f>
        <v>34.798604499147253</v>
      </c>
    </row>
    <row r="24" spans="3:43">
      <c r="C24" s="38">
        <v>30</v>
      </c>
      <c r="D24" s="39">
        <v>0.8</v>
      </c>
      <c r="E24" s="33"/>
      <c r="F24" s="33">
        <f t="shared" si="37"/>
        <v>15</v>
      </c>
      <c r="G24" s="40">
        <f t="shared" si="38"/>
        <v>450</v>
      </c>
      <c r="H24" s="33">
        <f t="shared" si="39"/>
        <v>420</v>
      </c>
      <c r="I24" s="36">
        <f t="shared" si="40"/>
        <v>0.93333333333333335</v>
      </c>
      <c r="J24" s="33"/>
      <c r="K24" s="39">
        <v>3</v>
      </c>
      <c r="L24" s="33">
        <f t="shared" si="41"/>
        <v>306</v>
      </c>
      <c r="M24" s="33"/>
      <c r="N24" s="71">
        <v>0.23</v>
      </c>
      <c r="O24" s="33">
        <f>ROUND(N24*(F24^2),0)</f>
        <v>52</v>
      </c>
      <c r="P24" s="40">
        <f>L24*O24</f>
        <v>15912</v>
      </c>
      <c r="Q24" s="36"/>
      <c r="R24" s="33" t="b">
        <f>IF(D24&gt;1/2,TRUE,FALSE)</f>
        <v>1</v>
      </c>
      <c r="S24" s="33" t="b">
        <f>IF(N24&lt;=1/2,TRUE,FALSE)</f>
        <v>1</v>
      </c>
      <c r="T24" s="66">
        <f>-D24/(LN(1-N24))</f>
        <v>3.0608563577781966</v>
      </c>
      <c r="U24"/>
      <c r="V24" s="38">
        <v>30</v>
      </c>
      <c r="W24" s="39">
        <v>0.8</v>
      </c>
      <c r="X24" s="33"/>
      <c r="Y24" s="33">
        <f t="shared" si="42"/>
        <v>15</v>
      </c>
      <c r="Z24" s="40">
        <f t="shared" si="43"/>
        <v>450</v>
      </c>
      <c r="AA24" s="33">
        <f t="shared" si="44"/>
        <v>420</v>
      </c>
      <c r="AB24" s="36">
        <f t="shared" si="45"/>
        <v>0.93333333333333335</v>
      </c>
      <c r="AC24" s="33"/>
      <c r="AD24" s="39">
        <v>3</v>
      </c>
      <c r="AE24" s="33">
        <f t="shared" si="46"/>
        <v>306</v>
      </c>
      <c r="AF24" s="33"/>
      <c r="AG24" s="58">
        <f>N24/F24</f>
        <v>1.5333333333333334E-2</v>
      </c>
      <c r="AH24" s="58">
        <f>AG24-N24</f>
        <v>-0.21466666666666667</v>
      </c>
      <c r="AI24" s="33">
        <f>ROUND(AG24*(Y24^2),0)</f>
        <v>3</v>
      </c>
      <c r="AJ24" s="33">
        <f>AI24-O24</f>
        <v>-49</v>
      </c>
      <c r="AK24" s="40">
        <f>AE24*AI24</f>
        <v>918</v>
      </c>
      <c r="AL24" s="36"/>
      <c r="AM24" s="33" t="b">
        <f>IF(W24&gt;1/2,TRUE,FALSE)</f>
        <v>1</v>
      </c>
      <c r="AN24" s="33" t="b">
        <f>IF(AG24&lt;=1/2,TRUE,FALSE)</f>
        <v>1</v>
      </c>
      <c r="AO24" s="62">
        <f>-W24/(LN(1-AG24))</f>
        <v>51.772882907273789</v>
      </c>
      <c r="AP24" s="54">
        <f>T24</f>
        <v>3.0608563577781966</v>
      </c>
      <c r="AQ24" s="23">
        <f>AO24-AP24</f>
        <v>48.71202654949559</v>
      </c>
    </row>
    <row r="25" spans="3:43">
      <c r="C25" s="38">
        <v>40</v>
      </c>
      <c r="D25" s="39">
        <v>0.8</v>
      </c>
      <c r="E25" s="33"/>
      <c r="F25" s="33">
        <f t="shared" si="37"/>
        <v>19</v>
      </c>
      <c r="G25" s="40">
        <f t="shared" si="38"/>
        <v>760</v>
      </c>
      <c r="H25" s="33">
        <f t="shared" si="39"/>
        <v>720</v>
      </c>
      <c r="I25" s="36">
        <f t="shared" si="40"/>
        <v>0.94736842105263153</v>
      </c>
      <c r="J25" s="33"/>
      <c r="K25" s="39">
        <v>3</v>
      </c>
      <c r="L25" s="33">
        <f t="shared" si="41"/>
        <v>443</v>
      </c>
      <c r="M25" s="33"/>
      <c r="N25" s="71">
        <v>0.23</v>
      </c>
      <c r="O25" s="33">
        <f>ROUND(N25*(F25^2),0)</f>
        <v>83</v>
      </c>
      <c r="P25" s="40">
        <f>L25*O25</f>
        <v>36769</v>
      </c>
      <c r="Q25" s="36"/>
      <c r="R25" s="33" t="b">
        <f>IF(D25&gt;1/2,TRUE,FALSE)</f>
        <v>1</v>
      </c>
      <c r="S25" s="33" t="b">
        <f>IF(N25&lt;=1/2,TRUE,FALSE)</f>
        <v>1</v>
      </c>
      <c r="T25" s="66">
        <f>-D25/(LN(1-N25))</f>
        <v>3.0608563577781966</v>
      </c>
      <c r="U25"/>
      <c r="V25" s="38">
        <v>40</v>
      </c>
      <c r="W25" s="39">
        <v>0.8</v>
      </c>
      <c r="X25" s="33"/>
      <c r="Y25" s="33">
        <f t="shared" si="42"/>
        <v>19</v>
      </c>
      <c r="Z25" s="40">
        <f t="shared" si="43"/>
        <v>760</v>
      </c>
      <c r="AA25" s="33">
        <f t="shared" si="44"/>
        <v>720</v>
      </c>
      <c r="AB25" s="36">
        <f t="shared" si="45"/>
        <v>0.94736842105263153</v>
      </c>
      <c r="AC25" s="33"/>
      <c r="AD25" s="39">
        <v>3</v>
      </c>
      <c r="AE25" s="33">
        <f t="shared" si="46"/>
        <v>443</v>
      </c>
      <c r="AF25" s="33"/>
      <c r="AG25" s="58">
        <f>N25/F25</f>
        <v>1.2105263157894737E-2</v>
      </c>
      <c r="AH25" s="58">
        <f>AG25-N25</f>
        <v>-0.21789473684210528</v>
      </c>
      <c r="AI25" s="33">
        <f>ROUND(AG25*(Y25^2),0)</f>
        <v>4</v>
      </c>
      <c r="AJ25" s="33">
        <f>AI25-O25</f>
        <v>-79</v>
      </c>
      <c r="AK25" s="40">
        <f>AE25*AI25</f>
        <v>1772</v>
      </c>
      <c r="AL25" s="36"/>
      <c r="AM25" s="33" t="b">
        <f>IF(W25&gt;1/2,TRUE,FALSE)</f>
        <v>1</v>
      </c>
      <c r="AN25" s="33" t="b">
        <f>IF(AG25&lt;=1/2,TRUE,FALSE)</f>
        <v>1</v>
      </c>
      <c r="AO25" s="62">
        <f>-W25/(LN(1-AG25))</f>
        <v>65.686144581841901</v>
      </c>
      <c r="AP25" s="54">
        <f>T25</f>
        <v>3.0608563577781966</v>
      </c>
      <c r="AQ25" s="23">
        <f>AO25-AP25</f>
        <v>62.625288224063702</v>
      </c>
    </row>
    <row r="26" spans="3:43">
      <c r="C26" s="38"/>
      <c r="D26" s="39"/>
      <c r="E26" s="33"/>
      <c r="F26" s="33"/>
      <c r="G26" s="40"/>
      <c r="H26" s="33"/>
      <c r="I26" s="36"/>
      <c r="J26" s="33"/>
      <c r="K26" s="39"/>
      <c r="L26" s="33"/>
      <c r="M26" s="33"/>
      <c r="N26" s="71"/>
      <c r="O26" s="33"/>
      <c r="P26" s="40"/>
      <c r="Q26" s="36"/>
      <c r="R26" s="33"/>
      <c r="S26" s="33"/>
      <c r="T26" s="66"/>
      <c r="V26" s="38"/>
      <c r="W26" s="39"/>
      <c r="X26" s="33"/>
      <c r="Y26" s="33"/>
      <c r="Z26" s="40"/>
      <c r="AA26" s="33"/>
      <c r="AB26" s="36"/>
      <c r="AC26" s="33"/>
      <c r="AD26" s="39"/>
      <c r="AE26" s="33"/>
      <c r="AF26" s="33"/>
      <c r="AG26" s="59"/>
      <c r="AH26" s="59"/>
      <c r="AI26" s="33"/>
      <c r="AJ26" s="33"/>
      <c r="AK26" s="40"/>
      <c r="AL26" s="36"/>
      <c r="AM26" s="33"/>
      <c r="AN26" s="33"/>
      <c r="AO26" s="62"/>
      <c r="AP26" s="54"/>
    </row>
    <row r="27" spans="3:43">
      <c r="C27" s="38"/>
      <c r="D27" s="39"/>
      <c r="E27" s="33"/>
      <c r="F27" s="33"/>
      <c r="G27" s="40"/>
      <c r="H27" s="33"/>
      <c r="I27" s="36"/>
      <c r="J27" s="33"/>
      <c r="K27" s="39"/>
      <c r="L27" s="33"/>
      <c r="M27" s="33"/>
      <c r="N27" s="71"/>
      <c r="O27" s="33"/>
      <c r="P27" s="40"/>
      <c r="Q27" s="36"/>
      <c r="R27" s="33"/>
      <c r="S27" s="33"/>
      <c r="T27" s="66"/>
      <c r="V27" s="38"/>
      <c r="W27" s="39"/>
      <c r="X27" s="33"/>
      <c r="Y27" s="33"/>
      <c r="Z27" s="40"/>
      <c r="AA27" s="33"/>
      <c r="AB27" s="36"/>
      <c r="AC27" s="33"/>
      <c r="AD27" s="39"/>
      <c r="AE27" s="33"/>
      <c r="AF27" s="33"/>
      <c r="AG27" s="59"/>
      <c r="AH27" s="59"/>
      <c r="AI27" s="33"/>
      <c r="AJ27" s="33"/>
      <c r="AK27" s="40"/>
      <c r="AL27" s="36"/>
      <c r="AM27" s="33"/>
      <c r="AN27" s="33"/>
      <c r="AO27" s="62"/>
      <c r="AP27" s="54"/>
    </row>
    <row r="28" spans="3:43">
      <c r="C28" s="38"/>
      <c r="D28" s="39"/>
      <c r="E28" s="33"/>
      <c r="F28" s="33"/>
      <c r="G28" s="40"/>
      <c r="H28" s="33"/>
      <c r="I28" s="36"/>
      <c r="J28" s="33"/>
      <c r="K28" s="39"/>
      <c r="L28" s="33"/>
      <c r="M28" s="33"/>
      <c r="N28" s="71"/>
      <c r="O28" s="33"/>
      <c r="P28" s="40"/>
      <c r="Q28" s="36"/>
      <c r="R28" s="33"/>
      <c r="S28" s="33"/>
      <c r="T28" s="66"/>
      <c r="V28" s="38"/>
      <c r="W28" s="39"/>
      <c r="X28" s="33"/>
      <c r="Y28" s="33"/>
      <c r="Z28" s="40"/>
      <c r="AA28" s="33"/>
      <c r="AB28" s="36"/>
      <c r="AC28" s="33"/>
      <c r="AD28" s="39"/>
      <c r="AE28" s="33"/>
      <c r="AF28" s="33"/>
      <c r="AG28" s="59"/>
      <c r="AH28" s="59"/>
      <c r="AI28" s="33"/>
      <c r="AJ28" s="33"/>
      <c r="AK28" s="40"/>
      <c r="AL28" s="36"/>
      <c r="AM28" s="33"/>
      <c r="AN28" s="33"/>
      <c r="AO28" s="62"/>
      <c r="AP28" s="54"/>
    </row>
    <row r="29" spans="3:43">
      <c r="C29" s="38"/>
      <c r="D29" s="39"/>
      <c r="E29" s="33"/>
      <c r="F29" s="33"/>
      <c r="G29" s="40"/>
      <c r="H29" s="33"/>
      <c r="I29" s="36"/>
      <c r="J29" s="33"/>
      <c r="K29" s="39"/>
      <c r="L29" s="33"/>
      <c r="M29" s="33"/>
      <c r="N29" s="71"/>
      <c r="O29" s="33"/>
      <c r="P29" s="40"/>
      <c r="Q29" s="36"/>
      <c r="R29" s="33"/>
      <c r="S29" s="33"/>
      <c r="T29" s="66"/>
      <c r="V29" s="38"/>
      <c r="W29" s="39"/>
      <c r="X29" s="33"/>
      <c r="Y29" s="33"/>
      <c r="Z29" s="40"/>
      <c r="AA29" s="33"/>
      <c r="AB29" s="36"/>
      <c r="AC29" s="33"/>
      <c r="AD29" s="39"/>
      <c r="AE29" s="33"/>
      <c r="AF29" s="33"/>
      <c r="AG29" s="59"/>
      <c r="AH29" s="59"/>
      <c r="AI29" s="33"/>
      <c r="AJ29" s="33"/>
      <c r="AK29" s="40"/>
      <c r="AL29" s="36"/>
      <c r="AM29" s="33"/>
      <c r="AN29" s="33"/>
      <c r="AO29" s="62"/>
      <c r="AP29" s="54"/>
    </row>
    <row r="30" spans="3:43">
      <c r="C30" s="38">
        <v>61</v>
      </c>
      <c r="D30" s="39">
        <f>LOG(2,C30)</f>
        <v>0.16861309868950111</v>
      </c>
      <c r="E30" s="33"/>
      <c r="F30" s="33">
        <v>2</v>
      </c>
      <c r="G30" s="40">
        <f t="shared" ref="G30:G31" si="47">C30*F30</f>
        <v>122</v>
      </c>
      <c r="H30" s="33">
        <f t="shared" ref="H30:H31" si="48">C30*(F30-1)</f>
        <v>61</v>
      </c>
      <c r="I30" s="36">
        <f t="shared" ref="I30:I31" si="49">(F30-1)/F30</f>
        <v>0.5</v>
      </c>
      <c r="J30" s="33"/>
      <c r="K30" s="39">
        <v>0.01</v>
      </c>
      <c r="L30" s="33"/>
      <c r="M30" s="33"/>
      <c r="N30" s="71">
        <v>0.01</v>
      </c>
      <c r="O30" s="33">
        <f>ROUND(N30*(F30^2),0)</f>
        <v>0</v>
      </c>
      <c r="P30" s="40">
        <f>L30*O30</f>
        <v>0</v>
      </c>
      <c r="Q30" s="36"/>
      <c r="R30" s="33" t="b">
        <f>IF(D30&gt;1/2,TRUE,FALSE)</f>
        <v>0</v>
      </c>
      <c r="S30" s="33" t="b">
        <f>IF(N30&lt;=1/2,TRUE,FALSE)</f>
        <v>1</v>
      </c>
      <c r="T30" s="66">
        <f>-D30/(LN(1-N30))</f>
        <v>16.776862101653823</v>
      </c>
      <c r="U30"/>
      <c r="V30" s="38">
        <v>61</v>
      </c>
      <c r="W30" s="39">
        <f>LOG(2,V30)</f>
        <v>0.16861309868950111</v>
      </c>
      <c r="X30" s="33"/>
      <c r="Y30" s="33">
        <v>2</v>
      </c>
      <c r="Z30" s="40">
        <f t="shared" ref="Z30:Z31" si="50">V30*Y30</f>
        <v>122</v>
      </c>
      <c r="AA30" s="33">
        <f t="shared" ref="AA30:AA31" si="51">V30*(Y30-1)</f>
        <v>61</v>
      </c>
      <c r="AB30" s="36">
        <f t="shared" ref="AB30:AB31" si="52">(Y30-1)/Y30</f>
        <v>0.5</v>
      </c>
      <c r="AC30" s="33"/>
      <c r="AD30" s="39">
        <v>0.01</v>
      </c>
      <c r="AE30" s="33"/>
      <c r="AF30" s="33"/>
      <c r="AG30" s="58">
        <f>N30/F30</f>
        <v>5.0000000000000001E-3</v>
      </c>
      <c r="AH30" s="58">
        <f>AG30-N30</f>
        <v>-5.0000000000000001E-3</v>
      </c>
      <c r="AI30" s="33">
        <f>ROUND(AG30*(Y30^2),0)</f>
        <v>0</v>
      </c>
      <c r="AJ30" s="33">
        <f>AI30-O30</f>
        <v>0</v>
      </c>
      <c r="AK30" s="40">
        <f>AE30*AI30</f>
        <v>0</v>
      </c>
      <c r="AL30" s="36"/>
      <c r="AM30" s="33" t="b">
        <f>IF(W30&gt;1/2,TRUE,FALSE)</f>
        <v>0</v>
      </c>
      <c r="AN30" s="33" t="b">
        <f>IF(AG30&lt;=1/2,TRUE,FALSE)</f>
        <v>1</v>
      </c>
      <c r="AO30" s="62">
        <f>-W30/(LN(1-AG30))</f>
        <v>33.638242756900837</v>
      </c>
      <c r="AP30" s="54">
        <f>T30</f>
        <v>16.776862101653823</v>
      </c>
      <c r="AQ30" s="23">
        <f>AO30-AP30</f>
        <v>16.861380655247014</v>
      </c>
    </row>
    <row r="31" spans="3:43" ht="16" thickBot="1">
      <c r="C31" s="48">
        <v>80</v>
      </c>
      <c r="D31" s="49">
        <f>LOG(2,C31)</f>
        <v>0.15817959093978229</v>
      </c>
      <c r="E31" s="50"/>
      <c r="F31" s="50">
        <v>2</v>
      </c>
      <c r="G31" s="51">
        <f t="shared" si="47"/>
        <v>160</v>
      </c>
      <c r="H31" s="50">
        <f t="shared" si="48"/>
        <v>80</v>
      </c>
      <c r="I31" s="52">
        <f t="shared" si="49"/>
        <v>0.5</v>
      </c>
      <c r="J31" s="50"/>
      <c r="K31" s="49">
        <v>5</v>
      </c>
      <c r="L31" s="50"/>
      <c r="M31" s="50"/>
      <c r="N31" s="73">
        <v>0.99</v>
      </c>
      <c r="O31" s="50">
        <f>ROUND(N31*(F31^2),0)</f>
        <v>4</v>
      </c>
      <c r="P31" s="51">
        <f>L31*O31</f>
        <v>0</v>
      </c>
      <c r="Q31" s="52"/>
      <c r="R31" s="50" t="b">
        <f>IF(D31&gt;1/2,TRUE,FALSE)</f>
        <v>0</v>
      </c>
      <c r="S31" s="50" t="b">
        <f>IF(N31&lt;=1/2,TRUE,FALSE)</f>
        <v>0</v>
      </c>
      <c r="T31" s="68">
        <f>-D31/(LN(1-N31))</f>
        <v>3.4348261747430532E-2</v>
      </c>
      <c r="U31"/>
      <c r="V31" s="48">
        <v>80</v>
      </c>
      <c r="W31" s="49">
        <f>LOG(2,V31)</f>
        <v>0.15817959093978229</v>
      </c>
      <c r="X31" s="50"/>
      <c r="Y31" s="50">
        <v>2</v>
      </c>
      <c r="Z31" s="51">
        <f t="shared" si="50"/>
        <v>160</v>
      </c>
      <c r="AA31" s="50">
        <f t="shared" si="51"/>
        <v>80</v>
      </c>
      <c r="AB31" s="52">
        <f t="shared" si="52"/>
        <v>0.5</v>
      </c>
      <c r="AC31" s="50"/>
      <c r="AD31" s="49">
        <v>5</v>
      </c>
      <c r="AE31" s="50"/>
      <c r="AF31" s="50"/>
      <c r="AG31" s="60">
        <f>N31/F31</f>
        <v>0.495</v>
      </c>
      <c r="AH31" s="60">
        <f>AG31-N31</f>
        <v>-0.495</v>
      </c>
      <c r="AI31" s="50">
        <f>ROUND(AG31*(Y31^2),0)</f>
        <v>2</v>
      </c>
      <c r="AJ31" s="50">
        <f>AI31-O31</f>
        <v>-2</v>
      </c>
      <c r="AK31" s="51">
        <f>AE31*AI31</f>
        <v>0</v>
      </c>
      <c r="AL31" s="52"/>
      <c r="AM31" s="50" t="b">
        <f>IF(W31&gt;1/2,TRUE,FALSE)</f>
        <v>0</v>
      </c>
      <c r="AN31" s="50" t="b">
        <f>IF(AG31&lt;=1/2,TRUE,FALSE)</f>
        <v>1</v>
      </c>
      <c r="AO31" s="64">
        <f>-W31/(LN(1-AG31))</f>
        <v>0.23152857190086831</v>
      </c>
      <c r="AP31" s="56">
        <f>T31</f>
        <v>3.4348261747430532E-2</v>
      </c>
      <c r="AQ31" s="23">
        <f>AO31-AP31</f>
        <v>0.19718031015343779</v>
      </c>
    </row>
    <row r="33" spans="1:38">
      <c r="U33"/>
    </row>
    <row r="35" spans="1:38">
      <c r="A35" s="11" t="s">
        <v>13</v>
      </c>
      <c r="O35" s="18" t="s">
        <v>24</v>
      </c>
      <c r="V35" s="11" t="s">
        <v>13</v>
      </c>
      <c r="AL35" s="18" t="s">
        <v>24</v>
      </c>
    </row>
    <row r="36" spans="1:38">
      <c r="A36" s="13" t="s">
        <v>14</v>
      </c>
      <c r="B36" s="14"/>
      <c r="C36" s="14"/>
      <c r="D36" s="14"/>
      <c r="V36" s="13" t="s">
        <v>14</v>
      </c>
      <c r="W36" s="14"/>
      <c r="X36" s="14"/>
      <c r="Y36" s="14"/>
    </row>
    <row r="37" spans="1:38">
      <c r="A37" s="11" t="s">
        <v>15</v>
      </c>
      <c r="V37" s="11" t="s">
        <v>15</v>
      </c>
    </row>
    <row r="39" spans="1:38">
      <c r="A39" s="11" t="s">
        <v>16</v>
      </c>
      <c r="V39" s="11" t="s">
        <v>16</v>
      </c>
    </row>
    <row r="40" spans="1:38">
      <c r="A40" s="12" t="s">
        <v>17</v>
      </c>
      <c r="B40" s="4"/>
      <c r="C40" s="9"/>
      <c r="V40" s="12" t="s">
        <v>17</v>
      </c>
      <c r="W40" s="4"/>
      <c r="X40" s="9"/>
    </row>
    <row r="41" spans="1:38">
      <c r="A41" s="11" t="s">
        <v>18</v>
      </c>
      <c r="V41" s="11" t="s">
        <v>18</v>
      </c>
    </row>
    <row r="42" spans="1:38">
      <c r="A42" s="11" t="s">
        <v>19</v>
      </c>
      <c r="V42" s="11" t="s">
        <v>19</v>
      </c>
    </row>
    <row r="43" spans="1:38">
      <c r="A43" s="11" t="s">
        <v>20</v>
      </c>
      <c r="V43" s="11" t="s">
        <v>20</v>
      </c>
    </row>
    <row r="44" spans="1:38">
      <c r="A44" s="11" t="s">
        <v>21</v>
      </c>
      <c r="V44" s="11" t="s">
        <v>21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Bill</dc:creator>
  <cp:keywords/>
  <dc:description/>
  <cp:lastModifiedBy>Bill</cp:lastModifiedBy>
  <dcterms:created xsi:type="dcterms:W3CDTF">2018-10-08T03:19:46Z</dcterms:created>
  <dcterms:modified xsi:type="dcterms:W3CDTF">2021-06-05T01:57:26Z</dcterms:modified>
  <cp:category/>
</cp:coreProperties>
</file>